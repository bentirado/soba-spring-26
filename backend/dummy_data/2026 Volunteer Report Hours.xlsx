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smodata\public\Volunteers\"/>
    </mc:Choice>
  </mc:AlternateContent>
  <xr:revisionPtr revIDLastSave="0" documentId="13_ncr:1_{06308FA1-F7DF-4309-A908-1C5B0D221EFD}" xr6:coauthVersionLast="47" xr6:coauthVersionMax="47" xr10:uidLastSave="{00000000-0000-0000-0000-000000000000}"/>
  <bookViews>
    <workbookView xWindow="-105" yWindow="0" windowWidth="12210" windowHeight="12885" firstSheet="2" activeTab="4" xr2:uid="{00000000-000D-0000-FFFF-FFFF00000000}"/>
  </bookViews>
  <sheets>
    <sheet name="Cumulative" sheetId="7" r:id="rId1"/>
    <sheet name="2026_January" sheetId="11" r:id="rId2"/>
    <sheet name="2026_Feburary" sheetId="13" r:id="rId3"/>
    <sheet name="2026_March" sheetId="14" r:id="rId4"/>
    <sheet name="Wings Schedule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4" l="1"/>
  <c r="C30" i="14"/>
  <c r="D28" i="14"/>
  <c r="C28" i="14"/>
  <c r="G18" i="14"/>
  <c r="F18" i="14"/>
  <c r="F21" i="14" s="1"/>
  <c r="E18" i="14"/>
  <c r="D18" i="14"/>
  <c r="G12" i="14"/>
  <c r="F12" i="14"/>
  <c r="E12" i="14"/>
  <c r="D12" i="14"/>
  <c r="G6" i="14"/>
  <c r="F6" i="14"/>
  <c r="E6" i="14"/>
  <c r="D6" i="14"/>
  <c r="D30" i="13"/>
  <c r="C30" i="13"/>
  <c r="D28" i="13"/>
  <c r="C28" i="13"/>
  <c r="G18" i="13"/>
  <c r="F18" i="13"/>
  <c r="E18" i="13"/>
  <c r="D18" i="13"/>
  <c r="G12" i="13"/>
  <c r="F12" i="13"/>
  <c r="E12" i="13"/>
  <c r="D12" i="13"/>
  <c r="G6" i="13"/>
  <c r="F6" i="13"/>
  <c r="E6" i="13"/>
  <c r="D6" i="13"/>
  <c r="E132" i="11"/>
  <c r="C132" i="11"/>
  <c r="D33" i="11"/>
  <c r="C33" i="11"/>
  <c r="D31" i="11"/>
  <c r="C31" i="11"/>
  <c r="G21" i="11"/>
  <c r="F21" i="11"/>
  <c r="E21" i="11"/>
  <c r="D21" i="11"/>
  <c r="G14" i="11"/>
  <c r="F14" i="11"/>
  <c r="E14" i="11"/>
  <c r="D14" i="11"/>
  <c r="G7" i="11"/>
  <c r="F7" i="11"/>
  <c r="E7" i="11"/>
  <c r="D7" i="11"/>
  <c r="D64" i="7"/>
  <c r="C64" i="7"/>
  <c r="B64" i="7"/>
  <c r="E21" i="14" l="1"/>
  <c r="D21" i="14"/>
  <c r="G21" i="14"/>
  <c r="F21" i="13"/>
  <c r="G21" i="13"/>
  <c r="E21" i="13"/>
  <c r="D21" i="13"/>
  <c r="E24" i="11"/>
  <c r="F24" i="11"/>
  <c r="G24" i="11"/>
  <c r="D24" i="11"/>
  <c r="E45" i="7" l="1"/>
  <c r="D45" i="7"/>
  <c r="C45" i="7"/>
  <c r="B45" i="7"/>
  <c r="E30" i="7"/>
  <c r="E49" i="7" s="1"/>
  <c r="D30" i="7"/>
  <c r="C30" i="7"/>
  <c r="B30" i="7"/>
  <c r="B15" i="7"/>
  <c r="E15" i="7"/>
  <c r="D15" i="7"/>
  <c r="C15" i="7"/>
  <c r="B49" i="7" l="1"/>
  <c r="C49" i="7"/>
  <c r="D49" i="7"/>
</calcChain>
</file>

<file path=xl/sharedStrings.xml><?xml version="1.0" encoding="utf-8"?>
<sst xmlns="http://schemas.openxmlformats.org/spreadsheetml/2006/main" count="265" uniqueCount="103">
  <si>
    <t>Groups Scheduled</t>
  </si>
  <si>
    <t>Groups Completed</t>
  </si>
  <si>
    <t>Group Hours Completed</t>
  </si>
  <si>
    <t>Total Group Volunteers</t>
  </si>
  <si>
    <t>Total</t>
  </si>
  <si>
    <t>Individuals Scheduled</t>
  </si>
  <si>
    <t>Individual Shifts Completed</t>
  </si>
  <si>
    <t>Individual Hours Completed</t>
  </si>
  <si>
    <t>Total Individual Volunteers</t>
  </si>
  <si>
    <t>Event Volunteers Scheduled</t>
  </si>
  <si>
    <t>Event Volunteers Completed</t>
  </si>
  <si>
    <t>Event Hours Completed</t>
  </si>
  <si>
    <t>Total Event Volunteers</t>
  </si>
  <si>
    <t>Volunteers Scheduled</t>
  </si>
  <si>
    <t>Completed Shifts</t>
  </si>
  <si>
    <t>Volunteer Hours Completed</t>
  </si>
  <si>
    <t>Total Volunteers</t>
  </si>
  <si>
    <t>Total Volunteer Hours</t>
  </si>
  <si>
    <t>Volunteer Dept Service Value</t>
  </si>
  <si>
    <t>206</t>
  </si>
  <si>
    <t>Shifts w DiscoverFest</t>
  </si>
  <si>
    <t>July</t>
  </si>
  <si>
    <t>August</t>
  </si>
  <si>
    <t>September</t>
  </si>
  <si>
    <t>October</t>
  </si>
  <si>
    <t>Interns</t>
  </si>
  <si>
    <t>Volunteers</t>
  </si>
  <si>
    <t>Hours w DiscoverFest</t>
  </si>
  <si>
    <t>w/o DiscoverFest</t>
  </si>
  <si>
    <t>Month</t>
  </si>
  <si>
    <t>Week Start</t>
  </si>
  <si>
    <t>Week End</t>
  </si>
  <si>
    <t>Total Groups</t>
  </si>
  <si>
    <t>Total Individual</t>
  </si>
  <si>
    <t>Total Event</t>
  </si>
  <si>
    <t>Group Date</t>
  </si>
  <si>
    <t>Group Name</t>
  </si>
  <si>
    <t>Group # Volunteers</t>
  </si>
  <si>
    <t>Group Hours</t>
  </si>
  <si>
    <t>Program Division</t>
  </si>
  <si>
    <t>Wings</t>
  </si>
  <si>
    <t>*Volunteers that reschedule are not included as incomplete</t>
  </si>
  <si>
    <t>Date</t>
  </si>
  <si>
    <t>Name</t>
  </si>
  <si>
    <t>Shifts Scheduled</t>
  </si>
  <si>
    <t>Shifts Completed</t>
  </si>
  <si>
    <t>Hours</t>
  </si>
  <si>
    <t>Program Divison</t>
  </si>
  <si>
    <t>Status</t>
  </si>
  <si>
    <t>Cindy Sandine</t>
  </si>
  <si>
    <t>Complete</t>
  </si>
  <si>
    <t>Sya Ruff</t>
  </si>
  <si>
    <t>Taya Martin</t>
  </si>
  <si>
    <t>Cumulative</t>
  </si>
  <si>
    <t>Sue Jay</t>
  </si>
  <si>
    <t>Victoria Sanchez</t>
  </si>
  <si>
    <t>Evie Strand</t>
  </si>
  <si>
    <t>Collections-Volunteer</t>
  </si>
  <si>
    <t>Mayra Villaboim</t>
  </si>
  <si>
    <t>Catarina Villaboim</t>
  </si>
  <si>
    <t>Valerie Gulick</t>
  </si>
  <si>
    <t>Guest Relations-Volunteer</t>
  </si>
  <si>
    <t>Chris Goodwin</t>
  </si>
  <si>
    <t>Karina Rosales</t>
  </si>
  <si>
    <t>Total Shifts July-October</t>
  </si>
  <si>
    <t>Floor Engagement-Volunteer</t>
  </si>
  <si>
    <t>Emily Greb</t>
  </si>
  <si>
    <t>Disinfect KidSpace</t>
  </si>
  <si>
    <t>Operations-Charles</t>
  </si>
  <si>
    <t>Disinfect Big Game Theory</t>
  </si>
  <si>
    <t>Emmy Phan</t>
  </si>
  <si>
    <t>Joey Hilton</t>
  </si>
  <si>
    <t>July 2025-November 2025 Volunteer Report</t>
  </si>
  <si>
    <t>2026-First Trimester Group (4 Months)</t>
  </si>
  <si>
    <t>Brayden McFerren</t>
  </si>
  <si>
    <t>1/1/26-1/4/26</t>
  </si>
  <si>
    <t>1/5/26-1/11/26</t>
  </si>
  <si>
    <t>1/12/26-1/18/26</t>
  </si>
  <si>
    <t>1/19/26-1/25/26</t>
  </si>
  <si>
    <t>1/26/26-1/31/26</t>
  </si>
  <si>
    <t>Emil Greb</t>
  </si>
  <si>
    <t>Decoration Cleanup</t>
  </si>
  <si>
    <t>Bements</t>
  </si>
  <si>
    <t>Kellys</t>
  </si>
  <si>
    <t>Event</t>
  </si>
  <si>
    <t>2/1 - 2/8</t>
  </si>
  <si>
    <t>2/23 - 3/1</t>
  </si>
  <si>
    <t>2/16 - 2/22</t>
  </si>
  <si>
    <t>2/9 - 2/15</t>
  </si>
  <si>
    <t>3/1 - 3/8</t>
  </si>
  <si>
    <t>3/9 - 3/15</t>
  </si>
  <si>
    <t>3/16 - 3/22</t>
  </si>
  <si>
    <t>3/23 - 3/31</t>
  </si>
  <si>
    <t># of Vols</t>
  </si>
  <si>
    <t>Disinfect Power Play</t>
  </si>
  <si>
    <t>Absent</t>
  </si>
  <si>
    <t>Storm School</t>
  </si>
  <si>
    <t>Incomplete</t>
  </si>
  <si>
    <t>N/A</t>
  </si>
  <si>
    <t>Collections</t>
  </si>
  <si>
    <t>Collections-Amanda</t>
  </si>
  <si>
    <t>Logged in Volgistiscs</t>
  </si>
  <si>
    <t>Done -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</si>
</sst>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h]:mm:ss;@"/>
    <numFmt numFmtId="165" formatCode="h:mm;@"/>
  </numFmts>
  <fonts count="8" x14ac:knownFonts="1">
    <font>
      <sz val="11"/>
      <color theme="1"/>
      <name val="Corbel"/>
      <family val="2"/>
      <scheme val="minor"/>
    </font>
    <font>
      <b/>
      <sz val="12"/>
      <color theme="1"/>
      <name val="Garamond"/>
      <family val="1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color rgb="FFFF0000"/>
      <name val="Garamond"/>
      <family val="1"/>
    </font>
    <font>
      <i/>
      <sz val="11"/>
      <color theme="1"/>
      <name val="Garamond"/>
      <family val="1"/>
    </font>
    <font>
      <sz val="12"/>
      <color theme="1"/>
      <name val="Garamond"/>
      <family val="1"/>
    </font>
    <font>
      <sz val="11"/>
      <color theme="0"/>
      <name val="Garamond"/>
      <family val="1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17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164" fontId="2" fillId="5" borderId="0" xfId="0" applyNumberFormat="1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164" fontId="2" fillId="7" borderId="0" xfId="0" applyNumberFormat="1" applyFont="1" applyFill="1" applyAlignment="1">
      <alignment horizontal="left"/>
    </xf>
    <xf numFmtId="14" fontId="3" fillId="6" borderId="0" xfId="0" applyNumberFormat="1" applyFont="1" applyFill="1" applyAlignment="1">
      <alignment horizontal="left"/>
    </xf>
    <xf numFmtId="164" fontId="3" fillId="6" borderId="0" xfId="0" applyNumberFormat="1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164" fontId="3" fillId="8" borderId="0" xfId="0" applyNumberFormat="1" applyFont="1" applyFill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7" fontId="3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12" borderId="0" xfId="0" applyFont="1" applyFill="1" applyAlignment="1">
      <alignment horizontal="left"/>
    </xf>
    <xf numFmtId="164" fontId="3" fillId="12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3" fillId="10" borderId="0" xfId="0" applyFont="1" applyFill="1" applyAlignment="1">
      <alignment horizontal="left"/>
    </xf>
    <xf numFmtId="164" fontId="3" fillId="10" borderId="0" xfId="0" applyNumberFormat="1" applyFont="1" applyFill="1" applyAlignment="1">
      <alignment horizontal="left"/>
    </xf>
    <xf numFmtId="0" fontId="3" fillId="11" borderId="0" xfId="0" applyFont="1" applyFill="1" applyAlignment="1">
      <alignment horizontal="left"/>
    </xf>
    <xf numFmtId="8" fontId="2" fillId="0" borderId="0" xfId="0" applyNumberFormat="1" applyFont="1" applyAlignment="1">
      <alignment horizontal="left"/>
    </xf>
    <xf numFmtId="0" fontId="2" fillId="9" borderId="0" xfId="0" applyFont="1" applyFill="1" applyAlignment="1">
      <alignment horizontal="left"/>
    </xf>
    <xf numFmtId="164" fontId="2" fillId="9" borderId="0" xfId="0" applyNumberFormat="1" applyFont="1" applyFill="1" applyAlignment="1">
      <alignment horizontal="left"/>
    </xf>
    <xf numFmtId="14" fontId="2" fillId="5" borderId="0" xfId="0" applyNumberFormat="1" applyFont="1" applyFill="1" applyAlignment="1">
      <alignment horizontal="left"/>
    </xf>
    <xf numFmtId="8" fontId="3" fillId="11" borderId="0" xfId="0" applyNumberFormat="1" applyFont="1" applyFill="1" applyAlignment="1">
      <alignment horizontal="left"/>
    </xf>
    <xf numFmtId="0" fontId="3" fillId="10" borderId="0" xfId="0" applyFont="1" applyFill="1" applyAlignment="1">
      <alignment vertic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/>
    <xf numFmtId="46" fontId="2" fillId="3" borderId="0" xfId="0" applyNumberFormat="1" applyFont="1" applyFill="1" applyAlignment="1">
      <alignment horizontal="left"/>
    </xf>
    <xf numFmtId="46" fontId="3" fillId="2" borderId="0" xfId="0" applyNumberFormat="1" applyFont="1" applyFill="1" applyAlignment="1">
      <alignment horizontal="left"/>
    </xf>
    <xf numFmtId="46" fontId="2" fillId="5" borderId="0" xfId="0" applyNumberFormat="1" applyFont="1" applyFill="1" applyAlignment="1">
      <alignment horizontal="left"/>
    </xf>
    <xf numFmtId="46" fontId="3" fillId="4" borderId="0" xfId="0" applyNumberFormat="1" applyFont="1" applyFill="1" applyAlignment="1">
      <alignment horizontal="left"/>
    </xf>
    <xf numFmtId="14" fontId="2" fillId="0" borderId="0" xfId="0" applyNumberFormat="1" applyFont="1"/>
    <xf numFmtId="0" fontId="2" fillId="6" borderId="0" xfId="0" applyFont="1" applyFill="1"/>
    <xf numFmtId="17" fontId="3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12" borderId="0" xfId="0" applyNumberFormat="1" applyFont="1" applyFill="1" applyAlignment="1">
      <alignment horizontal="left"/>
    </xf>
    <xf numFmtId="8" fontId="2" fillId="12" borderId="0" xfId="0" applyNumberFormat="1" applyFont="1" applyFill="1" applyAlignment="1">
      <alignment horizontal="left"/>
    </xf>
    <xf numFmtId="164" fontId="2" fillId="12" borderId="0" xfId="0" applyNumberFormat="1" applyFont="1" applyFill="1" applyAlignment="1">
      <alignment horizontal="left"/>
    </xf>
    <xf numFmtId="164" fontId="3" fillId="11" borderId="0" xfId="0" applyNumberFormat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21" fontId="2" fillId="5" borderId="0" xfId="0" applyNumberFormat="1" applyFont="1" applyFill="1" applyAlignment="1">
      <alignment horizontal="left"/>
    </xf>
    <xf numFmtId="21" fontId="3" fillId="4" borderId="0" xfId="0" applyNumberFormat="1" applyFont="1" applyFill="1" applyAlignment="1">
      <alignment horizontal="left"/>
    </xf>
    <xf numFmtId="9" fontId="2" fillId="5" borderId="0" xfId="0" applyNumberFormat="1" applyFont="1" applyFill="1" applyAlignment="1">
      <alignment horizontal="left"/>
    </xf>
    <xf numFmtId="46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46" fontId="2" fillId="2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left"/>
    </xf>
    <xf numFmtId="46" fontId="3" fillId="5" borderId="0" xfId="0" applyNumberFormat="1" applyFont="1" applyFill="1" applyAlignment="1">
      <alignment horizontal="left"/>
    </xf>
    <xf numFmtId="0" fontId="3" fillId="9" borderId="0" xfId="0" applyFont="1" applyFill="1" applyAlignment="1">
      <alignment horizontal="left"/>
    </xf>
    <xf numFmtId="46" fontId="3" fillId="9" borderId="0" xfId="0" applyNumberFormat="1" applyFont="1" applyFill="1" applyAlignment="1">
      <alignment horizontal="left"/>
    </xf>
    <xf numFmtId="46" fontId="2" fillId="9" borderId="0" xfId="0" applyNumberFormat="1" applyFont="1" applyFill="1" applyAlignment="1">
      <alignment horizontal="left"/>
    </xf>
    <xf numFmtId="0" fontId="2" fillId="11" borderId="0" xfId="0" applyFont="1" applyFill="1" applyAlignment="1">
      <alignment horizontal="left"/>
    </xf>
    <xf numFmtId="8" fontId="2" fillId="13" borderId="0" xfId="0" applyNumberFormat="1" applyFont="1" applyFill="1" applyAlignment="1">
      <alignment horizontal="left"/>
    </xf>
    <xf numFmtId="21" fontId="2" fillId="0" borderId="0" xfId="0" applyNumberFormat="1" applyFont="1" applyAlignment="1">
      <alignment horizontal="left"/>
    </xf>
    <xf numFmtId="165" fontId="2" fillId="3" borderId="0" xfId="0" applyNumberFormat="1" applyFont="1" applyFill="1" applyAlignment="1">
      <alignment horizontal="left"/>
    </xf>
    <xf numFmtId="14" fontId="4" fillId="10" borderId="0" xfId="0" applyNumberFormat="1" applyFont="1" applyFill="1" applyAlignment="1">
      <alignment horizontal="center"/>
    </xf>
    <xf numFmtId="20" fontId="2" fillId="0" borderId="0" xfId="0" applyNumberFormat="1" applyFont="1" applyAlignment="1">
      <alignment horizontal="left"/>
    </xf>
    <xf numFmtId="14" fontId="2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164" fontId="2" fillId="13" borderId="0" xfId="0" applyNumberFormat="1" applyFont="1" applyFill="1" applyAlignment="1">
      <alignment horizontal="left"/>
    </xf>
    <xf numFmtId="0" fontId="7" fillId="10" borderId="0" xfId="0" applyFont="1" applyFill="1"/>
    <xf numFmtId="16" fontId="3" fillId="4" borderId="0" xfId="0" applyNumberFormat="1" applyFont="1" applyFill="1" applyAlignment="1">
      <alignment horizontal="left"/>
    </xf>
    <xf numFmtId="0" fontId="2" fillId="14" borderId="0" xfId="0" applyFont="1" applyFill="1" applyAlignment="1">
      <alignment horizontal="center"/>
    </xf>
    <xf numFmtId="0" fontId="2" fillId="14" borderId="0" xfId="0" applyFont="1" applyFill="1"/>
    <xf numFmtId="0" fontId="2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Forester Regular" pitchFamily="2" charset="0"/>
                <a:ea typeface="+mn-ea"/>
                <a:cs typeface="+mn-cs"/>
              </a:defRPr>
            </a:pPr>
            <a:r>
              <a:rPr lang="en-US" sz="1200">
                <a:latin typeface="Forester Regular" pitchFamily="2" charset="0"/>
              </a:rPr>
              <a:t>Total Shifts </a:t>
            </a:r>
          </a:p>
          <a:p>
            <a:pPr>
              <a:defRPr sz="1200">
                <a:latin typeface="Forester Regular" pitchFamily="2" charset="0"/>
              </a:defRPr>
            </a:pPr>
            <a:r>
              <a:rPr lang="en-US" sz="1200">
                <a:latin typeface="Forester Regular" pitchFamily="2" charset="0"/>
              </a:rPr>
              <a:t>July 2025-October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Forester Regular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Cumulative!$A$67</c:f>
              <c:strCache>
                <c:ptCount val="1"/>
                <c:pt idx="0">
                  <c:v>Interns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Cumulative!$B$66:$E$66</c:f>
              <c:strCache>
                <c:ptCount val="4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</c:strCache>
            </c:strRef>
          </c:cat>
          <c:val>
            <c:numRef>
              <c:f>Cumulative!$B$67:$E$67</c:f>
              <c:numCache>
                <c:formatCode>General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33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7-44AE-AA20-7A2D48972083}"/>
            </c:ext>
          </c:extLst>
        </c:ser>
        <c:ser>
          <c:idx val="1"/>
          <c:order val="1"/>
          <c:tx>
            <c:strRef>
              <c:f>Cumulative!$A$68</c:f>
              <c:strCache>
                <c:ptCount val="1"/>
                <c:pt idx="0">
                  <c:v>Volunteers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Cumulative!$B$66:$E$66</c:f>
              <c:strCache>
                <c:ptCount val="4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</c:strCache>
            </c:strRef>
          </c:cat>
          <c:val>
            <c:numRef>
              <c:f>Cumulative!$B$68:$E$68</c:f>
              <c:numCache>
                <c:formatCode>General</c:formatCode>
                <c:ptCount val="4"/>
                <c:pt idx="0">
                  <c:v>58</c:v>
                </c:pt>
                <c:pt idx="1">
                  <c:v>43</c:v>
                </c:pt>
                <c:pt idx="2">
                  <c:v>173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7-44AE-AA20-7A2D489720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46310655"/>
        <c:axId val="246311135"/>
      </c:barChart>
      <c:catAx>
        <c:axId val="24631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11135"/>
        <c:crosses val="autoZero"/>
        <c:auto val="1"/>
        <c:lblAlgn val="ctr"/>
        <c:lblOffset val="100"/>
        <c:noMultiLvlLbl val="0"/>
      </c:catAx>
      <c:valAx>
        <c:axId val="24631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Forester Regular" pitchFamily="2" charset="0"/>
                <a:ea typeface="+mn-ea"/>
                <a:cs typeface="+mn-cs"/>
              </a:defRPr>
            </a:pPr>
            <a:r>
              <a:rPr lang="en-US" sz="1200">
                <a:latin typeface="Forester Regular" pitchFamily="2" charset="0"/>
              </a:rPr>
              <a:t>Total shifts without discoverfest</a:t>
            </a:r>
          </a:p>
          <a:p>
            <a:pPr>
              <a:defRPr sz="1200">
                <a:latin typeface="Forester Regular" pitchFamily="2" charset="0"/>
              </a:defRPr>
            </a:pPr>
            <a:r>
              <a:rPr lang="en-US" sz="1200">
                <a:latin typeface="Forester Regular" pitchFamily="2" charset="0"/>
              </a:rPr>
              <a:t>July 2025-October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Forester Regular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Cumulative!$A$79</c:f>
              <c:strCache>
                <c:ptCount val="1"/>
                <c:pt idx="0">
                  <c:v>Interns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Cumulative!$B$78:$E$78</c:f>
              <c:strCache>
                <c:ptCount val="4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</c:strCache>
            </c:strRef>
          </c:cat>
          <c:val>
            <c:numRef>
              <c:f>Cumulative!$B$79:$E$79</c:f>
              <c:numCache>
                <c:formatCode>General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33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9-41A5-88A5-674451717CEA}"/>
            </c:ext>
          </c:extLst>
        </c:ser>
        <c:ser>
          <c:idx val="1"/>
          <c:order val="1"/>
          <c:tx>
            <c:strRef>
              <c:f>Cumulative!$A$80</c:f>
              <c:strCache>
                <c:ptCount val="1"/>
                <c:pt idx="0">
                  <c:v>Volunteers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Cumulative!$B$78:$E$78</c:f>
              <c:strCache>
                <c:ptCount val="4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</c:strCache>
            </c:strRef>
          </c:cat>
          <c:val>
            <c:numRef>
              <c:f>Cumulative!$B$80:$E$80</c:f>
              <c:numCache>
                <c:formatCode>General</c:formatCode>
                <c:ptCount val="4"/>
                <c:pt idx="0">
                  <c:v>58</c:v>
                </c:pt>
                <c:pt idx="1">
                  <c:v>43</c:v>
                </c:pt>
                <c:pt idx="2">
                  <c:v>107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9-41A5-88A5-674451717C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46327455"/>
        <c:axId val="246325055"/>
      </c:barChart>
      <c:catAx>
        <c:axId val="24632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25055"/>
        <c:crosses val="autoZero"/>
        <c:auto val="1"/>
        <c:lblAlgn val="ctr"/>
        <c:lblOffset val="100"/>
        <c:noMultiLvlLbl val="0"/>
      </c:catAx>
      <c:valAx>
        <c:axId val="246325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2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Forester Regular" pitchFamily="2" charset="0"/>
                <a:ea typeface="+mn-ea"/>
                <a:cs typeface="+mn-cs"/>
              </a:defRPr>
            </a:pPr>
            <a:r>
              <a:rPr lang="en-US" sz="1200">
                <a:latin typeface="Forester Regular" pitchFamily="2" charset="0"/>
              </a:rPr>
              <a:t>Total Hours </a:t>
            </a:r>
          </a:p>
          <a:p>
            <a:pPr>
              <a:defRPr sz="1200">
                <a:latin typeface="Forester Regular" pitchFamily="2" charset="0"/>
              </a:defRPr>
            </a:pPr>
            <a:r>
              <a:rPr lang="en-US" sz="1200">
                <a:latin typeface="Forester Regular" pitchFamily="2" charset="0"/>
              </a:rPr>
              <a:t>July 2025-October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Forester Regular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Cumulative!$A$71</c:f>
              <c:strCache>
                <c:ptCount val="1"/>
                <c:pt idx="0">
                  <c:v>Interns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Cumulative!$B$70:$E$70</c:f>
              <c:strCache>
                <c:ptCount val="4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</c:strCache>
            </c:strRef>
          </c:cat>
          <c:val>
            <c:numRef>
              <c:f>Cumulative!$B$71:$E$71</c:f>
              <c:numCache>
                <c:formatCode>[h]:mm:ss;@</c:formatCode>
                <c:ptCount val="4"/>
                <c:pt idx="0" formatCode="General">
                  <c:v>0</c:v>
                </c:pt>
                <c:pt idx="1">
                  <c:v>3.083333333333333</c:v>
                </c:pt>
                <c:pt idx="2">
                  <c:v>7.135416666666667</c:v>
                </c:pt>
                <c:pt idx="3">
                  <c:v>8.625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A-4D6A-9272-9D36FBD88E33}"/>
            </c:ext>
          </c:extLst>
        </c:ser>
        <c:ser>
          <c:idx val="1"/>
          <c:order val="1"/>
          <c:tx>
            <c:strRef>
              <c:f>Cumulative!$A$72</c:f>
              <c:strCache>
                <c:ptCount val="1"/>
                <c:pt idx="0">
                  <c:v>Volunteers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dLbl>
              <c:idx val="1"/>
              <c:layout>
                <c:manualLayout>
                  <c:x val="6.2015503875968428E-3"/>
                  <c:y val="-4.02515723270440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1A-4D6A-9272-9D36FBD88E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Cumulative!$B$70:$E$70</c:f>
              <c:strCache>
                <c:ptCount val="4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</c:strCache>
            </c:strRef>
          </c:cat>
          <c:val>
            <c:numRef>
              <c:f>Cumulative!$B$72:$E$72</c:f>
              <c:numCache>
                <c:formatCode>[h]:mm:ss;@</c:formatCode>
                <c:ptCount val="4"/>
                <c:pt idx="0">
                  <c:v>3.8881944444444443</c:v>
                </c:pt>
                <c:pt idx="1">
                  <c:v>4.0138888888888884</c:v>
                </c:pt>
                <c:pt idx="2">
                  <c:v>19.394444444444446</c:v>
                </c:pt>
                <c:pt idx="3" formatCode="[h]:mm:ss">
                  <c:v>5.4444444444444438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A-4D6A-9272-9D36FBD88E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46327935"/>
        <c:axId val="246311615"/>
      </c:barChart>
      <c:catAx>
        <c:axId val="24632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11615"/>
        <c:crosses val="autoZero"/>
        <c:auto val="1"/>
        <c:lblAlgn val="ctr"/>
        <c:lblOffset val="100"/>
        <c:noMultiLvlLbl val="0"/>
      </c:catAx>
      <c:valAx>
        <c:axId val="24631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2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Forester Regular" pitchFamily="2" charset="0"/>
                <a:ea typeface="+mn-ea"/>
                <a:cs typeface="+mn-cs"/>
              </a:defRPr>
            </a:pPr>
            <a:r>
              <a:rPr lang="en-US" sz="1200" b="1" i="0" u="none" strike="noStrike" kern="1200" cap="all" spc="150" baseline="0">
                <a:solidFill>
                  <a:srgbClr val="000000">
                    <a:lumMod val="50000"/>
                    <a:lumOff val="50000"/>
                  </a:srgbClr>
                </a:solidFill>
                <a:latin typeface="Forester Regular" pitchFamily="2" charset="0"/>
              </a:rPr>
              <a:t>Total Hours without discoverfest</a:t>
            </a:r>
          </a:p>
          <a:p>
            <a:pPr>
              <a:defRPr sz="1200">
                <a:latin typeface="Forester Regular" pitchFamily="2" charset="0"/>
              </a:defRPr>
            </a:pPr>
            <a:r>
              <a:rPr lang="en-US" sz="1200" b="1" i="0" u="none" strike="noStrike" kern="1200" cap="all" spc="150" baseline="0">
                <a:solidFill>
                  <a:srgbClr val="000000">
                    <a:lumMod val="50000"/>
                    <a:lumOff val="50000"/>
                  </a:srgbClr>
                </a:solidFill>
                <a:latin typeface="Forester Regular" pitchFamily="2" charset="0"/>
              </a:rPr>
              <a:t>July 2025-October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Forester Regular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Cumulative!$A$75</c:f>
              <c:strCache>
                <c:ptCount val="1"/>
                <c:pt idx="0">
                  <c:v>Interns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1"/>
              <c:layout>
                <c:manualLayout>
                  <c:x val="-2.6666666666666668E-2"/>
                  <c:y val="1.00635709509695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A0-44ED-A976-6692F01A77A4}"/>
                </c:ext>
              </c:extLst>
            </c:dLbl>
            <c:dLbl>
              <c:idx val="2"/>
              <c:layout>
                <c:manualLayout>
                  <c:x val="-6.6666666666666055E-3"/>
                  <c:y val="-4.5703222458409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A0-44ED-A976-6692F01A77A4}"/>
                </c:ext>
              </c:extLst>
            </c:dLbl>
            <c:dLbl>
              <c:idx val="3"/>
              <c:layout>
                <c:manualLayout>
                  <c:x val="0"/>
                  <c:y val="-1.02152630160773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A0-44ED-A976-6692F01A7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Cumulative!$B$74:$E$74</c:f>
              <c:strCache>
                <c:ptCount val="4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</c:strCache>
            </c:strRef>
          </c:cat>
          <c:val>
            <c:numRef>
              <c:f>Cumulative!$B$75:$E$75</c:f>
              <c:numCache>
                <c:formatCode>[h]:mm:ss;@</c:formatCode>
                <c:ptCount val="4"/>
                <c:pt idx="0" formatCode="General">
                  <c:v>0</c:v>
                </c:pt>
                <c:pt idx="1">
                  <c:v>3.083333333333333</c:v>
                </c:pt>
                <c:pt idx="2">
                  <c:v>7.135416666666667</c:v>
                </c:pt>
                <c:pt idx="3">
                  <c:v>8.625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0-44ED-A976-6692F01A77A4}"/>
            </c:ext>
          </c:extLst>
        </c:ser>
        <c:ser>
          <c:idx val="1"/>
          <c:order val="1"/>
          <c:tx>
            <c:strRef>
              <c:f>Cumulative!$A$76</c:f>
              <c:strCache>
                <c:ptCount val="1"/>
                <c:pt idx="0">
                  <c:v>Volunteers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dLbl>
              <c:idx val="3"/>
              <c:layout>
                <c:manualLayout>
                  <c:x val="0.03"/>
                  <c:y val="-1.01394169835234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A0-44ED-A976-6692F01A7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Cumulative!$B$74:$E$74</c:f>
              <c:strCache>
                <c:ptCount val="4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</c:strCache>
            </c:strRef>
          </c:cat>
          <c:val>
            <c:numRef>
              <c:f>Cumulative!$B$76:$E$76</c:f>
              <c:numCache>
                <c:formatCode>[h]:mm:ss;@</c:formatCode>
                <c:ptCount val="4"/>
                <c:pt idx="0">
                  <c:v>3.8881944444444443</c:v>
                </c:pt>
                <c:pt idx="1">
                  <c:v>4.0138888888888884</c:v>
                </c:pt>
                <c:pt idx="2">
                  <c:v>6.6979166666666661</c:v>
                </c:pt>
                <c:pt idx="3" formatCode="[h]:mm:ss">
                  <c:v>5.4444444444444438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0-44ED-A976-6692F01A77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372471647"/>
        <c:axId val="372475007"/>
      </c:barChart>
      <c:catAx>
        <c:axId val="37247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75007"/>
        <c:crosses val="autoZero"/>
        <c:auto val="1"/>
        <c:lblAlgn val="ctr"/>
        <c:lblOffset val="100"/>
        <c:noMultiLvlLbl val="0"/>
      </c:catAx>
      <c:valAx>
        <c:axId val="37247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7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23813</xdr:colOff>
      <xdr:row>81</xdr:row>
      <xdr:rowOff>71437</xdr:rowOff>
    </xdr:from>
    <xdr:to>
      <xdr:col>2</xdr:col>
      <xdr:colOff>1581151</xdr:colOff>
      <xdr:row>95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7DBBD-F7F6-ACE1-A34C-639C38F6F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1666875</xdr:colOff>
      <xdr:row>81</xdr:row>
      <xdr:rowOff>66675</xdr:rowOff>
    </xdr:from>
    <xdr:to>
      <xdr:col>4</xdr:col>
      <xdr:colOff>1704975</xdr:colOff>
      <xdr:row>95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F623B6-8BD2-43C5-91AA-90E27CB36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96</xdr:row>
      <xdr:rowOff>66675</xdr:rowOff>
    </xdr:from>
    <xdr:to>
      <xdr:col>2</xdr:col>
      <xdr:colOff>1590675</xdr:colOff>
      <xdr:row>109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E47BBC-A8D3-442F-9650-1C07E3119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1657350</xdr:colOff>
      <xdr:row>96</xdr:row>
      <xdr:rowOff>76200</xdr:rowOff>
    </xdr:from>
    <xdr:to>
      <xdr:col>4</xdr:col>
      <xdr:colOff>1724025</xdr:colOff>
      <xdr:row>109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1E854B-7908-4B25-B794-F151A145B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80"/>
  <sheetViews>
    <sheetView topLeftCell="A21" zoomScaleNormal="100" workbookViewId="0"/>
  </sheetViews>
  <sheetFormatPr defaultRowHeight="15" x14ac:dyDescent="0.25"/>
  <cols>
    <col min="1" max="1" width="9" style="8"/>
    <col min="2" max="2" width="24.5" style="8" customWidth="1"/>
    <col min="3" max="3" width="24.25" style="8" customWidth="1"/>
    <col min="4" max="4" width="24" style="8" customWidth="1"/>
    <col min="5" max="5" width="22.75" style="8" customWidth="1"/>
    <col min="6" max="16384" width="9" style="8"/>
  </cols>
  <sheetData>
    <row r="1" spans="1:5" ht="23.25" customHeight="1" x14ac:dyDescent="0.25">
      <c r="A1" s="56" t="s">
        <v>72</v>
      </c>
      <c r="B1" s="24"/>
    </row>
    <row r="2" spans="1:5" x14ac:dyDescent="0.25">
      <c r="B2" s="27" t="s">
        <v>0</v>
      </c>
      <c r="C2" s="7" t="s">
        <v>1</v>
      </c>
      <c r="D2" s="7" t="s">
        <v>2</v>
      </c>
      <c r="E2" s="7" t="s">
        <v>3</v>
      </c>
    </row>
    <row r="3" spans="1:5" x14ac:dyDescent="0.25">
      <c r="A3" s="2">
        <v>45839</v>
      </c>
      <c r="B3" s="4">
        <v>6</v>
      </c>
      <c r="C3" s="4">
        <v>4</v>
      </c>
      <c r="D3" s="5">
        <v>0.96875</v>
      </c>
      <c r="E3" s="4">
        <v>39</v>
      </c>
    </row>
    <row r="4" spans="1:5" x14ac:dyDescent="0.25">
      <c r="A4" s="2">
        <v>45870</v>
      </c>
      <c r="B4" s="8">
        <v>3</v>
      </c>
      <c r="C4" s="8">
        <v>3</v>
      </c>
      <c r="D4" s="28">
        <v>1.2083333333333333</v>
      </c>
      <c r="E4" s="8">
        <v>26</v>
      </c>
    </row>
    <row r="5" spans="1:5" x14ac:dyDescent="0.25">
      <c r="A5" s="2">
        <v>45901</v>
      </c>
      <c r="B5" s="4">
        <v>6</v>
      </c>
      <c r="C5" s="4">
        <v>7</v>
      </c>
      <c r="D5" s="44">
        <v>3.3576388888888888</v>
      </c>
      <c r="E5" s="4">
        <v>83</v>
      </c>
    </row>
    <row r="6" spans="1:5" x14ac:dyDescent="0.25">
      <c r="A6" s="2">
        <v>45931</v>
      </c>
      <c r="B6" s="8">
        <v>6</v>
      </c>
      <c r="C6" s="8">
        <v>6</v>
      </c>
      <c r="D6" s="60">
        <v>1.0833333333333333</v>
      </c>
      <c r="E6" s="8">
        <v>46</v>
      </c>
    </row>
    <row r="7" spans="1:5" x14ac:dyDescent="0.25">
      <c r="A7" s="2">
        <v>45962</v>
      </c>
      <c r="B7" s="4"/>
      <c r="C7" s="4"/>
      <c r="D7" s="4"/>
      <c r="E7" s="4"/>
    </row>
    <row r="8" spans="1:5" x14ac:dyDescent="0.25">
      <c r="A8" s="2">
        <v>45992</v>
      </c>
    </row>
    <row r="9" spans="1:5" x14ac:dyDescent="0.25">
      <c r="A9" s="2">
        <v>46023</v>
      </c>
      <c r="B9" s="4"/>
      <c r="C9" s="4"/>
      <c r="D9" s="4"/>
      <c r="E9" s="4"/>
    </row>
    <row r="10" spans="1:5" x14ac:dyDescent="0.25">
      <c r="A10" s="2">
        <v>46054</v>
      </c>
    </row>
    <row r="11" spans="1:5" x14ac:dyDescent="0.25">
      <c r="A11" s="2">
        <v>46082</v>
      </c>
      <c r="B11" s="4"/>
      <c r="C11" s="4"/>
      <c r="D11" s="4"/>
      <c r="E11" s="4"/>
    </row>
    <row r="12" spans="1:5" x14ac:dyDescent="0.25">
      <c r="A12" s="2">
        <v>46113</v>
      </c>
    </row>
    <row r="13" spans="1:5" x14ac:dyDescent="0.25">
      <c r="A13" s="2">
        <v>46143</v>
      </c>
      <c r="B13" s="4"/>
      <c r="C13" s="4"/>
      <c r="D13" s="4"/>
      <c r="E13" s="4"/>
    </row>
    <row r="14" spans="1:5" x14ac:dyDescent="0.25">
      <c r="A14" s="2">
        <v>46174</v>
      </c>
    </row>
    <row r="15" spans="1:5" x14ac:dyDescent="0.25">
      <c r="A15" s="29" t="s">
        <v>4</v>
      </c>
      <c r="B15" s="29">
        <f>SUM(B3:B14)</f>
        <v>21</v>
      </c>
      <c r="C15" s="29">
        <f>SUM(C3:C14)</f>
        <v>20</v>
      </c>
      <c r="D15" s="30">
        <f>SUM(D3:D14)</f>
        <v>6.6180555555555545</v>
      </c>
      <c r="E15" s="29">
        <f>SUM(E3:E14)</f>
        <v>194</v>
      </c>
    </row>
    <row r="17" spans="1:5" x14ac:dyDescent="0.25">
      <c r="B17" s="13" t="s">
        <v>5</v>
      </c>
      <c r="C17" s="13" t="s">
        <v>6</v>
      </c>
      <c r="D17" s="13" t="s">
        <v>7</v>
      </c>
      <c r="E17" s="13" t="s">
        <v>8</v>
      </c>
    </row>
    <row r="18" spans="1:5" ht="15.75" x14ac:dyDescent="0.25">
      <c r="A18" s="2">
        <v>45839</v>
      </c>
      <c r="B18" s="10">
        <v>19</v>
      </c>
      <c r="C18" s="10">
        <v>9</v>
      </c>
      <c r="D18" s="11">
        <v>1.6694444444444445</v>
      </c>
      <c r="E18" s="31">
        <v>10</v>
      </c>
    </row>
    <row r="19" spans="1:5" x14ac:dyDescent="0.25">
      <c r="A19" s="2">
        <v>45870</v>
      </c>
      <c r="B19" s="8">
        <v>25</v>
      </c>
      <c r="C19" s="8">
        <v>25</v>
      </c>
      <c r="D19" s="28">
        <v>5.6062499999999993</v>
      </c>
      <c r="E19" s="8">
        <v>25</v>
      </c>
    </row>
    <row r="20" spans="1:5" x14ac:dyDescent="0.25">
      <c r="A20" s="2">
        <v>45901</v>
      </c>
      <c r="B20" s="10">
        <v>58</v>
      </c>
      <c r="C20" s="10">
        <v>57</v>
      </c>
      <c r="D20" s="46">
        <v>10.475694444444446</v>
      </c>
      <c r="E20" s="10">
        <v>57</v>
      </c>
    </row>
    <row r="21" spans="1:5" x14ac:dyDescent="0.25">
      <c r="A21" s="2">
        <v>45931</v>
      </c>
      <c r="B21" s="8">
        <v>67</v>
      </c>
      <c r="C21" s="8">
        <v>65</v>
      </c>
      <c r="D21" s="60">
        <v>12.333333333333332</v>
      </c>
      <c r="E21" s="8">
        <v>65</v>
      </c>
    </row>
    <row r="22" spans="1:5" x14ac:dyDescent="0.25">
      <c r="A22" s="2">
        <v>45962</v>
      </c>
      <c r="B22" s="10"/>
      <c r="C22" s="10"/>
      <c r="D22" s="10"/>
      <c r="E22" s="10"/>
    </row>
    <row r="23" spans="1:5" x14ac:dyDescent="0.25">
      <c r="A23" s="2">
        <v>45992</v>
      </c>
    </row>
    <row r="24" spans="1:5" x14ac:dyDescent="0.25">
      <c r="A24" s="2">
        <v>46023</v>
      </c>
      <c r="B24" s="10"/>
      <c r="C24" s="10"/>
      <c r="D24" s="10"/>
      <c r="E24" s="10"/>
    </row>
    <row r="25" spans="1:5" x14ac:dyDescent="0.25">
      <c r="A25" s="2">
        <v>46054</v>
      </c>
    </row>
    <row r="26" spans="1:5" x14ac:dyDescent="0.25">
      <c r="A26" s="2">
        <v>46082</v>
      </c>
      <c r="B26" s="10"/>
      <c r="C26" s="10"/>
      <c r="D26" s="10"/>
      <c r="E26" s="10"/>
    </row>
    <row r="27" spans="1:5" x14ac:dyDescent="0.25">
      <c r="A27" s="2">
        <v>46113</v>
      </c>
    </row>
    <row r="28" spans="1:5" x14ac:dyDescent="0.25">
      <c r="A28" s="2">
        <v>46143</v>
      </c>
      <c r="B28" s="10"/>
      <c r="C28" s="10"/>
      <c r="D28" s="10"/>
      <c r="E28" s="10"/>
    </row>
    <row r="29" spans="1:5" x14ac:dyDescent="0.25">
      <c r="A29" s="2">
        <v>46174</v>
      </c>
    </row>
    <row r="30" spans="1:5" x14ac:dyDescent="0.25">
      <c r="A30" s="29" t="s">
        <v>4</v>
      </c>
      <c r="B30" s="29">
        <f>SUM(B18:B29)</f>
        <v>169</v>
      </c>
      <c r="C30" s="29">
        <f>SUM(C18:C29)</f>
        <v>156</v>
      </c>
      <c r="D30" s="30">
        <f>SUM(D18:D29)</f>
        <v>30.084722222222222</v>
      </c>
      <c r="E30" s="29">
        <f>SUM(E18:E29)</f>
        <v>157</v>
      </c>
    </row>
    <row r="32" spans="1:5" x14ac:dyDescent="0.25">
      <c r="B32" s="15" t="s">
        <v>9</v>
      </c>
      <c r="C32" s="15" t="s">
        <v>10</v>
      </c>
      <c r="D32" s="15" t="s">
        <v>11</v>
      </c>
      <c r="E32" s="15" t="s">
        <v>12</v>
      </c>
    </row>
    <row r="33" spans="1:5" x14ac:dyDescent="0.25">
      <c r="A33" s="2">
        <v>45839</v>
      </c>
      <c r="B33" s="16">
        <v>8</v>
      </c>
      <c r="C33" s="16">
        <v>9</v>
      </c>
      <c r="D33" s="17">
        <v>1.25</v>
      </c>
      <c r="E33" s="16">
        <v>9</v>
      </c>
    </row>
    <row r="34" spans="1:5" x14ac:dyDescent="0.25">
      <c r="A34" s="2">
        <v>45870</v>
      </c>
      <c r="B34" s="8">
        <v>4</v>
      </c>
      <c r="C34" s="8">
        <v>3</v>
      </c>
      <c r="D34" s="28">
        <v>0.5</v>
      </c>
      <c r="E34" s="8">
        <v>3</v>
      </c>
    </row>
    <row r="35" spans="1:5" x14ac:dyDescent="0.25">
      <c r="A35" s="2">
        <v>45901</v>
      </c>
      <c r="B35" s="16">
        <v>79</v>
      </c>
      <c r="C35" s="16">
        <v>66</v>
      </c>
      <c r="D35" s="17">
        <v>12.696527777777781</v>
      </c>
      <c r="E35" s="16">
        <v>66</v>
      </c>
    </row>
    <row r="36" spans="1:5" x14ac:dyDescent="0.25">
      <c r="A36" s="2">
        <v>45931</v>
      </c>
      <c r="B36" s="8">
        <v>5</v>
      </c>
      <c r="C36" s="8">
        <v>4</v>
      </c>
      <c r="D36" s="28">
        <v>0.65277777777777779</v>
      </c>
      <c r="E36" s="8">
        <v>4</v>
      </c>
    </row>
    <row r="37" spans="1:5" x14ac:dyDescent="0.25">
      <c r="A37" s="2">
        <v>45962</v>
      </c>
      <c r="B37" s="16"/>
      <c r="C37" s="16"/>
      <c r="D37" s="16"/>
      <c r="E37" s="16"/>
    </row>
    <row r="38" spans="1:5" x14ac:dyDescent="0.25">
      <c r="A38" s="2">
        <v>45992</v>
      </c>
    </row>
    <row r="39" spans="1:5" x14ac:dyDescent="0.25">
      <c r="A39" s="2">
        <v>46023</v>
      </c>
      <c r="B39" s="16"/>
      <c r="C39" s="16"/>
      <c r="D39" s="16"/>
      <c r="E39" s="16"/>
    </row>
    <row r="40" spans="1:5" x14ac:dyDescent="0.25">
      <c r="A40" s="2">
        <v>46054</v>
      </c>
    </row>
    <row r="41" spans="1:5" x14ac:dyDescent="0.25">
      <c r="A41" s="2">
        <v>46082</v>
      </c>
      <c r="B41" s="16"/>
      <c r="C41" s="16"/>
      <c r="D41" s="16"/>
      <c r="E41" s="16"/>
    </row>
    <row r="42" spans="1:5" x14ac:dyDescent="0.25">
      <c r="A42" s="2">
        <v>46113</v>
      </c>
    </row>
    <row r="43" spans="1:5" x14ac:dyDescent="0.25">
      <c r="A43" s="2">
        <v>46143</v>
      </c>
      <c r="B43" s="16"/>
      <c r="C43" s="16"/>
      <c r="D43" s="16"/>
      <c r="E43" s="16"/>
    </row>
    <row r="44" spans="1:5" x14ac:dyDescent="0.25">
      <c r="A44" s="2">
        <v>46174</v>
      </c>
    </row>
    <row r="45" spans="1:5" x14ac:dyDescent="0.25">
      <c r="A45" s="29" t="s">
        <v>4</v>
      </c>
      <c r="B45" s="29">
        <f>SUM(B33:B44)</f>
        <v>96</v>
      </c>
      <c r="C45" s="29">
        <f>SUM(C33:C44)</f>
        <v>82</v>
      </c>
      <c r="D45" s="30">
        <f>SUM(D33:D44)</f>
        <v>15.09930555555556</v>
      </c>
      <c r="E45" s="29">
        <f>SUM(E33:E44)</f>
        <v>82</v>
      </c>
    </row>
    <row r="48" spans="1:5" x14ac:dyDescent="0.25">
      <c r="A48" s="21" t="s">
        <v>4</v>
      </c>
      <c r="B48" s="21" t="s">
        <v>13</v>
      </c>
      <c r="C48" s="21" t="s">
        <v>14</v>
      </c>
      <c r="D48" s="21" t="s">
        <v>15</v>
      </c>
      <c r="E48" s="21" t="s">
        <v>16</v>
      </c>
    </row>
    <row r="49" spans="1:5" x14ac:dyDescent="0.25">
      <c r="A49" s="32"/>
      <c r="B49" s="33">
        <f>SUM(B45,B30,B15)</f>
        <v>286</v>
      </c>
      <c r="C49" s="33">
        <f>SUM(C45,C30,C15)</f>
        <v>258</v>
      </c>
      <c r="D49" s="34">
        <f>SUM(D45,D30,D15)</f>
        <v>51.802083333333343</v>
      </c>
      <c r="E49" s="33">
        <f>SUM(E30,E45,E15)</f>
        <v>433</v>
      </c>
    </row>
    <row r="51" spans="1:5" x14ac:dyDescent="0.25">
      <c r="A51" s="2"/>
      <c r="B51" s="35" t="s">
        <v>16</v>
      </c>
      <c r="C51" s="35" t="s">
        <v>17</v>
      </c>
      <c r="D51" s="35" t="s">
        <v>18</v>
      </c>
      <c r="E51" s="68"/>
    </row>
    <row r="52" spans="1:5" x14ac:dyDescent="0.25">
      <c r="A52" s="50">
        <v>45839</v>
      </c>
      <c r="B52" s="52">
        <v>58</v>
      </c>
      <c r="C52" s="54">
        <v>3.8881944444444443</v>
      </c>
      <c r="D52" s="53">
        <v>1306.43</v>
      </c>
    </row>
    <row r="53" spans="1:5" x14ac:dyDescent="0.25">
      <c r="A53" s="50">
        <v>45870</v>
      </c>
      <c r="B53" s="51">
        <v>54</v>
      </c>
      <c r="C53" s="28">
        <v>7.3145833333333323</v>
      </c>
      <c r="D53" s="36">
        <v>2457.6999999999998</v>
      </c>
    </row>
    <row r="54" spans="1:5" x14ac:dyDescent="0.25">
      <c r="A54" s="50">
        <v>45901</v>
      </c>
      <c r="B54" s="52" t="s">
        <v>19</v>
      </c>
      <c r="C54" s="54">
        <v>26.529861111111117</v>
      </c>
      <c r="D54" s="53">
        <v>8914.0400000000009</v>
      </c>
    </row>
    <row r="55" spans="1:5" x14ac:dyDescent="0.25">
      <c r="A55" s="50">
        <v>45931</v>
      </c>
      <c r="B55" s="8">
        <v>115</v>
      </c>
      <c r="C55" s="28">
        <v>14.069444444444445</v>
      </c>
      <c r="D55" s="69">
        <v>4727.33</v>
      </c>
    </row>
    <row r="56" spans="1:5" x14ac:dyDescent="0.25">
      <c r="A56" s="50">
        <v>45962</v>
      </c>
      <c r="B56" s="51"/>
      <c r="C56" s="28"/>
    </row>
    <row r="57" spans="1:5" x14ac:dyDescent="0.25">
      <c r="A57" s="50">
        <v>45992</v>
      </c>
      <c r="B57" s="51"/>
      <c r="C57" s="28"/>
    </row>
    <row r="58" spans="1:5" x14ac:dyDescent="0.25">
      <c r="A58" s="50">
        <v>46023</v>
      </c>
      <c r="B58" s="51"/>
      <c r="C58" s="28"/>
    </row>
    <row r="59" spans="1:5" x14ac:dyDescent="0.25">
      <c r="A59" s="50">
        <v>46054</v>
      </c>
      <c r="B59" s="51"/>
      <c r="C59" s="28"/>
    </row>
    <row r="60" spans="1:5" x14ac:dyDescent="0.25">
      <c r="A60" s="50">
        <v>46082</v>
      </c>
      <c r="B60" s="51"/>
      <c r="C60" s="28"/>
    </row>
    <row r="61" spans="1:5" x14ac:dyDescent="0.25">
      <c r="A61" s="50">
        <v>46113</v>
      </c>
      <c r="B61" s="51"/>
      <c r="C61" s="28"/>
    </row>
    <row r="62" spans="1:5" x14ac:dyDescent="0.25">
      <c r="A62" s="50">
        <v>46143</v>
      </c>
      <c r="B62" s="51"/>
      <c r="C62" s="28"/>
    </row>
    <row r="63" spans="1:5" x14ac:dyDescent="0.25">
      <c r="A63" s="50">
        <v>46174</v>
      </c>
      <c r="B63" s="51"/>
      <c r="C63" s="28"/>
    </row>
    <row r="64" spans="1:5" x14ac:dyDescent="0.25">
      <c r="A64" s="35" t="s">
        <v>4</v>
      </c>
      <c r="B64" s="35">
        <f>SUM(E49)</f>
        <v>433</v>
      </c>
      <c r="C64" s="55">
        <f>SUM(C52:C63)</f>
        <v>51.802083333333336</v>
      </c>
      <c r="D64" s="40">
        <f>SUM(D52:D63)</f>
        <v>17405.5</v>
      </c>
    </row>
    <row r="65" spans="1:5" x14ac:dyDescent="0.25">
      <c r="B65" s="8" t="s">
        <v>20</v>
      </c>
    </row>
    <row r="66" spans="1:5" x14ac:dyDescent="0.25">
      <c r="A66" s="10"/>
      <c r="B66" s="63" t="s">
        <v>21</v>
      </c>
      <c r="C66" s="63" t="s">
        <v>22</v>
      </c>
      <c r="D66" s="64" t="s">
        <v>23</v>
      </c>
      <c r="E66" s="63" t="s">
        <v>24</v>
      </c>
    </row>
    <row r="67" spans="1:5" x14ac:dyDescent="0.25">
      <c r="A67" s="10" t="s">
        <v>25</v>
      </c>
      <c r="B67" s="10">
        <v>0</v>
      </c>
      <c r="C67" s="10">
        <v>11</v>
      </c>
      <c r="D67" s="10">
        <v>33</v>
      </c>
      <c r="E67" s="10">
        <v>38</v>
      </c>
    </row>
    <row r="68" spans="1:5" x14ac:dyDescent="0.25">
      <c r="A68" s="10" t="s">
        <v>26</v>
      </c>
      <c r="B68" s="10">
        <v>58</v>
      </c>
      <c r="C68" s="10">
        <v>43</v>
      </c>
      <c r="D68" s="10">
        <v>173</v>
      </c>
      <c r="E68" s="10">
        <v>76</v>
      </c>
    </row>
    <row r="69" spans="1:5" x14ac:dyDescent="0.25">
      <c r="B69" s="8" t="s">
        <v>27</v>
      </c>
    </row>
    <row r="70" spans="1:5" x14ac:dyDescent="0.25">
      <c r="A70" s="10"/>
      <c r="B70" s="63" t="s">
        <v>21</v>
      </c>
      <c r="C70" s="63" t="s">
        <v>22</v>
      </c>
      <c r="D70" s="64" t="s">
        <v>23</v>
      </c>
      <c r="E70" s="63" t="s">
        <v>24</v>
      </c>
    </row>
    <row r="71" spans="1:5" x14ac:dyDescent="0.25">
      <c r="A71" s="10" t="s">
        <v>25</v>
      </c>
      <c r="B71" s="10">
        <v>0</v>
      </c>
      <c r="C71" s="11">
        <v>3.083333333333333</v>
      </c>
      <c r="D71" s="11">
        <v>7.135416666666667</v>
      </c>
      <c r="E71" s="11">
        <v>8.625</v>
      </c>
    </row>
    <row r="72" spans="1:5" x14ac:dyDescent="0.25">
      <c r="A72" s="10" t="s">
        <v>26</v>
      </c>
      <c r="B72" s="11">
        <v>3.8881944444444443</v>
      </c>
      <c r="C72" s="11">
        <v>4.0138888888888884</v>
      </c>
      <c r="D72" s="11">
        <v>19.394444444444446</v>
      </c>
      <c r="E72" s="46">
        <v>5.4444444444444438</v>
      </c>
    </row>
    <row r="73" spans="1:5" x14ac:dyDescent="0.25">
      <c r="B73" s="8" t="s">
        <v>28</v>
      </c>
    </row>
    <row r="74" spans="1:5" x14ac:dyDescent="0.25">
      <c r="A74" s="37"/>
      <c r="B74" s="65" t="s">
        <v>21</v>
      </c>
      <c r="C74" s="65" t="s">
        <v>22</v>
      </c>
      <c r="D74" s="66" t="s">
        <v>23</v>
      </c>
      <c r="E74" s="65" t="s">
        <v>24</v>
      </c>
    </row>
    <row r="75" spans="1:5" x14ac:dyDescent="0.25">
      <c r="A75" s="37" t="s">
        <v>25</v>
      </c>
      <c r="B75" s="37">
        <v>0</v>
      </c>
      <c r="C75" s="38">
        <v>3.083333333333333</v>
      </c>
      <c r="D75" s="38">
        <v>7.135416666666667</v>
      </c>
      <c r="E75" s="38">
        <v>8.625</v>
      </c>
    </row>
    <row r="76" spans="1:5" x14ac:dyDescent="0.25">
      <c r="A76" s="37" t="s">
        <v>26</v>
      </c>
      <c r="B76" s="38">
        <v>3.8881944444444443</v>
      </c>
      <c r="C76" s="38">
        <v>4.0138888888888884</v>
      </c>
      <c r="D76" s="38">
        <v>6.6979166666666661</v>
      </c>
      <c r="E76" s="67">
        <v>5.4444444444444438</v>
      </c>
    </row>
    <row r="77" spans="1:5" x14ac:dyDescent="0.25">
      <c r="B77" s="8" t="s">
        <v>28</v>
      </c>
    </row>
    <row r="78" spans="1:5" x14ac:dyDescent="0.25">
      <c r="A78" s="37"/>
      <c r="B78" s="65" t="s">
        <v>21</v>
      </c>
      <c r="C78" s="65" t="s">
        <v>22</v>
      </c>
      <c r="D78" s="66" t="s">
        <v>23</v>
      </c>
      <c r="E78" s="65" t="s">
        <v>24</v>
      </c>
    </row>
    <row r="79" spans="1:5" x14ac:dyDescent="0.25">
      <c r="A79" s="37" t="s">
        <v>25</v>
      </c>
      <c r="B79" s="37">
        <v>0</v>
      </c>
      <c r="C79" s="37">
        <v>11</v>
      </c>
      <c r="D79" s="37">
        <v>33</v>
      </c>
      <c r="E79" s="37">
        <v>38</v>
      </c>
    </row>
    <row r="80" spans="1:5" x14ac:dyDescent="0.25">
      <c r="A80" s="37" t="s">
        <v>26</v>
      </c>
      <c r="B80" s="37">
        <v>58</v>
      </c>
      <c r="C80" s="37">
        <v>43</v>
      </c>
      <c r="D80" s="37">
        <v>107</v>
      </c>
      <c r="E80" s="37">
        <v>76</v>
      </c>
    </row>
  </sheetData>
  <pageMargins left="0.7" right="0.7" top="0.75" bottom="0.75" header="0.3" footer="0.3"/>
  <pageSetup scale="84" fitToHeight="3" orientation="portrait" r:id="rId1"/>
  <ignoredErrors>
    <ignoredError sqref="B5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AAF0-92F7-4DD3-8D80-442ACFE45CE1}">
  <dimension ref="A1:G185"/>
  <sheetViews>
    <sheetView workbookViewId="0">
      <selection activeCell="C2" sqref="C2"/>
    </sheetView>
  </sheetViews>
  <sheetFormatPr defaultRowHeight="15" x14ac:dyDescent="0.25"/>
  <cols>
    <col min="1" max="1" width="11.25" style="8" customWidth="1"/>
    <col min="2" max="2" width="15.125" style="8" customWidth="1"/>
    <col min="3" max="3" width="17.125" style="8" customWidth="1"/>
    <col min="4" max="4" width="16.5" style="8" customWidth="1"/>
    <col min="5" max="5" width="15.75" style="8" customWidth="1"/>
    <col min="6" max="6" width="24.25" style="8" customWidth="1"/>
    <col min="7" max="7" width="21.75" style="8" customWidth="1"/>
  </cols>
  <sheetData>
    <row r="1" spans="1:7" x14ac:dyDescent="0.25">
      <c r="A1" s="24" t="s">
        <v>29</v>
      </c>
      <c r="B1" s="24" t="s">
        <v>30</v>
      </c>
      <c r="C1" s="24" t="s">
        <v>31</v>
      </c>
      <c r="D1" s="7" t="s">
        <v>0</v>
      </c>
      <c r="E1" s="7" t="s">
        <v>1</v>
      </c>
      <c r="F1" s="7" t="s">
        <v>2</v>
      </c>
      <c r="G1" s="7" t="s">
        <v>3</v>
      </c>
    </row>
    <row r="2" spans="1:7" x14ac:dyDescent="0.25">
      <c r="A2" s="2">
        <v>46048</v>
      </c>
      <c r="B2" s="3">
        <v>46023</v>
      </c>
      <c r="C2" s="3">
        <v>46026</v>
      </c>
      <c r="D2" s="4"/>
      <c r="E2" s="4"/>
      <c r="F2" s="44"/>
      <c r="G2" s="4"/>
    </row>
    <row r="3" spans="1:7" x14ac:dyDescent="0.25">
      <c r="A3" s="2">
        <v>46048</v>
      </c>
      <c r="B3" s="3">
        <v>46027</v>
      </c>
      <c r="C3" s="3">
        <v>46033</v>
      </c>
      <c r="D3" s="4"/>
      <c r="E3" s="4"/>
      <c r="F3" s="44"/>
      <c r="G3" s="4"/>
    </row>
    <row r="4" spans="1:7" x14ac:dyDescent="0.25">
      <c r="A4" s="2">
        <v>46048</v>
      </c>
      <c r="B4" s="3">
        <v>46034</v>
      </c>
      <c r="C4" s="3">
        <v>46040</v>
      </c>
      <c r="D4" s="4"/>
      <c r="E4" s="4"/>
      <c r="F4" s="44"/>
      <c r="G4" s="4"/>
    </row>
    <row r="5" spans="1:7" x14ac:dyDescent="0.25">
      <c r="A5" s="2">
        <v>46048</v>
      </c>
      <c r="B5" s="3">
        <v>46041</v>
      </c>
      <c r="C5" s="3">
        <v>46047</v>
      </c>
      <c r="D5" s="4"/>
      <c r="E5" s="4"/>
      <c r="F5" s="44"/>
      <c r="G5" s="4"/>
    </row>
    <row r="6" spans="1:7" x14ac:dyDescent="0.25">
      <c r="A6" s="2">
        <v>46048</v>
      </c>
      <c r="B6" s="3">
        <v>45683</v>
      </c>
      <c r="C6" s="3">
        <v>46053</v>
      </c>
      <c r="D6" s="4"/>
      <c r="E6" s="4"/>
      <c r="F6" s="44"/>
      <c r="G6" s="4"/>
    </row>
    <row r="7" spans="1:7" x14ac:dyDescent="0.25">
      <c r="A7" s="2"/>
      <c r="B7" s="3"/>
      <c r="C7" s="6" t="s">
        <v>32</v>
      </c>
      <c r="D7" s="7">
        <f>SUM(D2:D6)</f>
        <v>0</v>
      </c>
      <c r="E7" s="7">
        <f>SUM(E2:E6)</f>
        <v>0</v>
      </c>
      <c r="F7" s="45">
        <f>SUM(F2:F6)</f>
        <v>0</v>
      </c>
      <c r="G7" s="7">
        <f>SUM(G2:G6)</f>
        <v>0</v>
      </c>
    </row>
    <row r="8" spans="1:7" x14ac:dyDescent="0.25">
      <c r="C8" s="9"/>
      <c r="D8" s="13" t="s">
        <v>5</v>
      </c>
      <c r="E8" s="13" t="s">
        <v>6</v>
      </c>
      <c r="F8" s="13" t="s">
        <v>7</v>
      </c>
      <c r="G8" s="13" t="s">
        <v>8</v>
      </c>
    </row>
    <row r="9" spans="1:7" x14ac:dyDescent="0.25">
      <c r="A9" s="2">
        <v>46048</v>
      </c>
      <c r="B9" s="3">
        <v>46023</v>
      </c>
      <c r="C9" s="3">
        <v>46026</v>
      </c>
      <c r="D9" s="10"/>
      <c r="E9" s="10"/>
      <c r="F9" s="46"/>
      <c r="G9" s="10"/>
    </row>
    <row r="10" spans="1:7" x14ac:dyDescent="0.25">
      <c r="A10" s="2">
        <v>46048</v>
      </c>
      <c r="B10" s="3">
        <v>46027</v>
      </c>
      <c r="C10" s="3">
        <v>46033</v>
      </c>
      <c r="D10" s="10"/>
      <c r="E10" s="10"/>
      <c r="F10" s="46"/>
      <c r="G10" s="10"/>
    </row>
    <row r="11" spans="1:7" x14ac:dyDescent="0.25">
      <c r="A11" s="2">
        <v>46048</v>
      </c>
      <c r="B11" s="3">
        <v>46034</v>
      </c>
      <c r="C11" s="3">
        <v>46040</v>
      </c>
      <c r="D11" s="10"/>
      <c r="E11" s="10"/>
      <c r="F11" s="46"/>
      <c r="G11" s="10"/>
    </row>
    <row r="12" spans="1:7" x14ac:dyDescent="0.25">
      <c r="A12" s="2">
        <v>46048</v>
      </c>
      <c r="B12" s="3">
        <v>46041</v>
      </c>
      <c r="C12" s="3">
        <v>46047</v>
      </c>
      <c r="D12" s="10"/>
      <c r="E12" s="10"/>
      <c r="F12" s="46"/>
      <c r="G12" s="10"/>
    </row>
    <row r="13" spans="1:7" x14ac:dyDescent="0.25">
      <c r="A13" s="2">
        <v>46048</v>
      </c>
      <c r="B13" s="3">
        <v>45683</v>
      </c>
      <c r="C13" s="3">
        <v>46053</v>
      </c>
      <c r="D13" s="10"/>
      <c r="E13" s="10"/>
      <c r="F13" s="46"/>
      <c r="G13" s="10"/>
    </row>
    <row r="14" spans="1:7" x14ac:dyDescent="0.25">
      <c r="A14" s="2"/>
      <c r="B14" s="3"/>
      <c r="C14" s="12" t="s">
        <v>33</v>
      </c>
      <c r="D14" s="13">
        <f>SUM(D9:D13)</f>
        <v>0</v>
      </c>
      <c r="E14" s="13">
        <f>SUM(E9:E13)</f>
        <v>0</v>
      </c>
      <c r="F14" s="47">
        <f>SUM(F9:F13)</f>
        <v>0</v>
      </c>
      <c r="G14" s="13">
        <f>SUM(G9:G13)</f>
        <v>0</v>
      </c>
    </row>
    <row r="15" spans="1:7" x14ac:dyDescent="0.25">
      <c r="C15" s="14"/>
      <c r="D15" s="15" t="s">
        <v>9</v>
      </c>
      <c r="E15" s="15" t="s">
        <v>10</v>
      </c>
      <c r="F15" s="15" t="s">
        <v>11</v>
      </c>
      <c r="G15" s="15" t="s">
        <v>12</v>
      </c>
    </row>
    <row r="16" spans="1:7" x14ac:dyDescent="0.25">
      <c r="A16" s="2">
        <v>46048</v>
      </c>
      <c r="B16" s="3">
        <v>46023</v>
      </c>
      <c r="C16" s="3">
        <v>46026</v>
      </c>
      <c r="D16" s="16"/>
      <c r="E16" s="16"/>
      <c r="F16" s="17"/>
      <c r="G16" s="16"/>
    </row>
    <row r="17" spans="1:7" x14ac:dyDescent="0.25">
      <c r="A17" s="2">
        <v>46048</v>
      </c>
      <c r="B17" s="3">
        <v>46027</v>
      </c>
      <c r="C17" s="3">
        <v>46033</v>
      </c>
      <c r="D17" s="16"/>
      <c r="E17" s="16"/>
      <c r="F17" s="17"/>
      <c r="G17" s="16"/>
    </row>
    <row r="18" spans="1:7" x14ac:dyDescent="0.25">
      <c r="A18" s="2">
        <v>46048</v>
      </c>
      <c r="B18" s="3">
        <v>46034</v>
      </c>
      <c r="C18" s="3">
        <v>46040</v>
      </c>
      <c r="D18" s="16"/>
      <c r="E18" s="16"/>
      <c r="F18" s="17"/>
      <c r="G18" s="16"/>
    </row>
    <row r="19" spans="1:7" x14ac:dyDescent="0.25">
      <c r="A19" s="2">
        <v>46048</v>
      </c>
      <c r="B19" s="3">
        <v>46041</v>
      </c>
      <c r="C19" s="3">
        <v>46047</v>
      </c>
      <c r="D19" s="16"/>
      <c r="E19" s="16"/>
      <c r="F19" s="17"/>
      <c r="G19" s="16"/>
    </row>
    <row r="20" spans="1:7" x14ac:dyDescent="0.25">
      <c r="A20" s="2">
        <v>46048</v>
      </c>
      <c r="B20" s="3">
        <v>45683</v>
      </c>
      <c r="C20" s="3">
        <v>46053</v>
      </c>
      <c r="D20" s="16"/>
      <c r="E20" s="16"/>
      <c r="F20" s="17"/>
      <c r="G20" s="16"/>
    </row>
    <row r="21" spans="1:7" x14ac:dyDescent="0.25">
      <c r="A21" s="2"/>
      <c r="B21" s="3"/>
      <c r="C21" s="18" t="s">
        <v>34</v>
      </c>
      <c r="D21" s="15">
        <f>SUM(D16:D20)</f>
        <v>0</v>
      </c>
      <c r="E21" s="15">
        <f>SUM(E16:E20)</f>
        <v>0</v>
      </c>
      <c r="F21" s="19">
        <f>SUM(F16:F20)</f>
        <v>0</v>
      </c>
      <c r="G21" s="15">
        <f>SUM(G16:G20)</f>
        <v>0</v>
      </c>
    </row>
    <row r="22" spans="1:7" x14ac:dyDescent="0.25">
      <c r="D22" s="24"/>
    </row>
    <row r="23" spans="1:7" x14ac:dyDescent="0.25">
      <c r="B23" s="20"/>
      <c r="C23" s="20"/>
      <c r="D23" s="21" t="s">
        <v>13</v>
      </c>
      <c r="E23" s="21" t="s">
        <v>14</v>
      </c>
      <c r="F23" s="21" t="s">
        <v>15</v>
      </c>
      <c r="G23" s="21" t="s">
        <v>16</v>
      </c>
    </row>
    <row r="24" spans="1:7" x14ac:dyDescent="0.25">
      <c r="B24" s="20"/>
      <c r="C24" s="21" t="s">
        <v>53</v>
      </c>
      <c r="D24" s="21">
        <f>SUM(D21,D14,D7)</f>
        <v>0</v>
      </c>
      <c r="E24" s="21">
        <f>SUM(E21,E14,E7)</f>
        <v>0</v>
      </c>
      <c r="F24" s="22">
        <f>SUM(F21,F14,F7)</f>
        <v>0</v>
      </c>
      <c r="G24" s="21">
        <f>SUM(G21,G14,G7)</f>
        <v>0</v>
      </c>
    </row>
    <row r="26" spans="1:7" x14ac:dyDescent="0.25">
      <c r="A26" s="7" t="s">
        <v>35</v>
      </c>
      <c r="B26" s="7" t="s">
        <v>36</v>
      </c>
      <c r="C26" s="7" t="s">
        <v>37</v>
      </c>
      <c r="D26" s="7" t="s">
        <v>38</v>
      </c>
      <c r="E26" s="7" t="s">
        <v>39</v>
      </c>
      <c r="F26" s="35" t="s">
        <v>18</v>
      </c>
      <c r="G26" s="40"/>
    </row>
    <row r="27" spans="1:7" x14ac:dyDescent="0.25">
      <c r="A27" s="23">
        <v>46029</v>
      </c>
      <c r="B27" s="4" t="s">
        <v>40</v>
      </c>
      <c r="C27" s="4">
        <v>12</v>
      </c>
      <c r="D27" s="71">
        <v>0.125</v>
      </c>
      <c r="E27" s="4"/>
    </row>
    <row r="28" spans="1:7" x14ac:dyDescent="0.25">
      <c r="A28" s="23">
        <v>46036</v>
      </c>
      <c r="B28" s="4" t="s">
        <v>40</v>
      </c>
      <c r="C28" s="4">
        <v>13</v>
      </c>
      <c r="D28" s="5">
        <v>0.125</v>
      </c>
      <c r="E28" s="4"/>
    </row>
    <row r="29" spans="1:7" x14ac:dyDescent="0.25">
      <c r="A29" s="23"/>
      <c r="B29" s="4"/>
      <c r="C29" s="4"/>
      <c r="D29" s="5"/>
      <c r="E29" s="4"/>
    </row>
    <row r="30" spans="1:7" x14ac:dyDescent="0.25">
      <c r="A30" s="23"/>
      <c r="B30" s="4"/>
      <c r="C30" s="4"/>
      <c r="D30" s="5"/>
      <c r="E30" s="4"/>
    </row>
    <row r="31" spans="1:7" x14ac:dyDescent="0.25">
      <c r="B31" s="8" t="s">
        <v>4</v>
      </c>
      <c r="C31" s="24">
        <f>SUM(C27:C30)</f>
        <v>25</v>
      </c>
      <c r="D31" s="25">
        <f>SUM(D27:D30)</f>
        <v>0.25</v>
      </c>
    </row>
    <row r="32" spans="1:7" x14ac:dyDescent="0.25">
      <c r="A32" s="23"/>
      <c r="B32" s="4"/>
      <c r="C32" s="4"/>
      <c r="D32" s="5"/>
      <c r="E32" s="4"/>
    </row>
    <row r="33" spans="1:7" x14ac:dyDescent="0.25">
      <c r="B33" s="8" t="s">
        <v>4</v>
      </c>
      <c r="C33" s="24">
        <f>SUM(C32)</f>
        <v>0</v>
      </c>
      <c r="D33" s="25">
        <f>SUM(D32)</f>
        <v>0</v>
      </c>
    </row>
    <row r="34" spans="1:7" x14ac:dyDescent="0.25">
      <c r="A34" s="26"/>
      <c r="B34" s="26"/>
      <c r="C34" s="26" t="s">
        <v>41</v>
      </c>
    </row>
    <row r="35" spans="1:7" x14ac:dyDescent="0.25">
      <c r="A35" s="13" t="s">
        <v>42</v>
      </c>
      <c r="B35" s="13" t="s">
        <v>43</v>
      </c>
      <c r="C35" s="13" t="s">
        <v>44</v>
      </c>
      <c r="D35" s="13" t="s">
        <v>45</v>
      </c>
      <c r="E35" s="13" t="s">
        <v>46</v>
      </c>
      <c r="F35" s="13" t="s">
        <v>47</v>
      </c>
      <c r="G35" s="13" t="s">
        <v>48</v>
      </c>
    </row>
    <row r="36" spans="1:7" x14ac:dyDescent="0.25">
      <c r="A36" s="13" t="s">
        <v>75</v>
      </c>
      <c r="B36" s="13"/>
      <c r="C36" s="13"/>
      <c r="D36" s="13"/>
      <c r="E36" s="13"/>
      <c r="F36" s="13"/>
      <c r="G36" s="13"/>
    </row>
    <row r="37" spans="1:7" x14ac:dyDescent="0.25">
      <c r="A37" s="39">
        <v>46023</v>
      </c>
      <c r="B37" s="10" t="s">
        <v>80</v>
      </c>
      <c r="C37" s="10">
        <v>1</v>
      </c>
      <c r="D37" s="10"/>
      <c r="E37" s="11"/>
      <c r="F37" s="10" t="s">
        <v>61</v>
      </c>
      <c r="G37" s="10"/>
    </row>
    <row r="38" spans="1:7" x14ac:dyDescent="0.25">
      <c r="A38" s="39">
        <v>46025</v>
      </c>
      <c r="B38" s="10" t="s">
        <v>70</v>
      </c>
      <c r="C38" s="10">
        <v>1</v>
      </c>
      <c r="D38" s="10"/>
      <c r="E38" s="57"/>
      <c r="F38" s="10"/>
      <c r="G38" s="10"/>
    </row>
    <row r="39" spans="1:7" x14ac:dyDescent="0.25">
      <c r="A39" s="39">
        <v>46025</v>
      </c>
      <c r="B39" s="10" t="s">
        <v>59</v>
      </c>
      <c r="C39" s="10">
        <v>1</v>
      </c>
      <c r="D39" s="10"/>
      <c r="E39" s="57"/>
      <c r="F39" s="10"/>
      <c r="G39" s="10"/>
    </row>
    <row r="40" spans="1:7" x14ac:dyDescent="0.25">
      <c r="A40" s="39">
        <v>46025</v>
      </c>
      <c r="B40" s="10" t="s">
        <v>58</v>
      </c>
      <c r="C40" s="10">
        <v>1</v>
      </c>
      <c r="D40" s="10"/>
      <c r="E40" s="57"/>
      <c r="F40" s="10"/>
      <c r="G40" s="10"/>
    </row>
    <row r="41" spans="1:7" x14ac:dyDescent="0.25">
      <c r="A41" s="39">
        <v>46026</v>
      </c>
      <c r="B41" s="10" t="s">
        <v>63</v>
      </c>
      <c r="C41" s="10">
        <v>1</v>
      </c>
      <c r="D41" s="10"/>
      <c r="E41" s="57"/>
      <c r="F41" s="10"/>
      <c r="G41" s="10"/>
    </row>
    <row r="42" spans="1:7" x14ac:dyDescent="0.25">
      <c r="A42" s="39">
        <v>46026</v>
      </c>
      <c r="B42" s="10" t="s">
        <v>71</v>
      </c>
      <c r="C42" s="10">
        <v>1</v>
      </c>
      <c r="D42" s="10"/>
      <c r="E42" s="57"/>
      <c r="F42" s="10"/>
      <c r="G42" s="10"/>
    </row>
    <row r="43" spans="1:7" x14ac:dyDescent="0.25">
      <c r="A43" s="12" t="s">
        <v>76</v>
      </c>
      <c r="B43" s="13"/>
      <c r="C43" s="13"/>
      <c r="D43" s="13"/>
      <c r="E43" s="58"/>
      <c r="F43" s="13"/>
      <c r="G43" s="13"/>
    </row>
    <row r="44" spans="1:7" x14ac:dyDescent="0.25">
      <c r="A44" s="39">
        <v>46027</v>
      </c>
      <c r="B44" s="10" t="s">
        <v>49</v>
      </c>
      <c r="C44" s="10">
        <v>1</v>
      </c>
      <c r="D44" s="10">
        <v>1</v>
      </c>
      <c r="E44" s="57">
        <v>0.1763888888888889</v>
      </c>
      <c r="F44" s="10" t="s">
        <v>57</v>
      </c>
      <c r="G44" s="10"/>
    </row>
    <row r="45" spans="1:7" x14ac:dyDescent="0.25">
      <c r="A45" s="39">
        <v>46028</v>
      </c>
      <c r="B45" s="10" t="s">
        <v>74</v>
      </c>
      <c r="C45" s="10"/>
      <c r="D45" s="10"/>
      <c r="E45" s="57"/>
      <c r="F45" s="10"/>
      <c r="G45" s="10"/>
    </row>
    <row r="46" spans="1:7" x14ac:dyDescent="0.25">
      <c r="A46" s="39">
        <v>46028</v>
      </c>
      <c r="B46" s="10" t="s">
        <v>55</v>
      </c>
      <c r="C46" s="10"/>
      <c r="D46" s="10"/>
      <c r="E46" s="57"/>
      <c r="F46" s="10"/>
      <c r="G46" s="10"/>
    </row>
    <row r="47" spans="1:7" x14ac:dyDescent="0.25">
      <c r="A47" s="39">
        <v>46028</v>
      </c>
      <c r="B47" s="10" t="s">
        <v>52</v>
      </c>
      <c r="C47" s="10">
        <v>1</v>
      </c>
      <c r="D47" s="10">
        <v>1</v>
      </c>
      <c r="E47" s="57">
        <v>0.16666666666666666</v>
      </c>
      <c r="F47" s="10" t="s">
        <v>65</v>
      </c>
      <c r="G47" s="10"/>
    </row>
    <row r="48" spans="1:7" x14ac:dyDescent="0.25">
      <c r="A48" s="39">
        <v>46028</v>
      </c>
      <c r="B48" s="10" t="s">
        <v>51</v>
      </c>
      <c r="C48" s="10">
        <v>1</v>
      </c>
      <c r="D48" s="10">
        <v>1</v>
      </c>
      <c r="E48" s="57">
        <v>0.16666666666666666</v>
      </c>
      <c r="F48" s="10" t="s">
        <v>65</v>
      </c>
      <c r="G48" s="10"/>
    </row>
    <row r="49" spans="1:7" x14ac:dyDescent="0.25">
      <c r="A49" s="39">
        <v>46028</v>
      </c>
      <c r="B49" s="10" t="s">
        <v>60</v>
      </c>
      <c r="C49" s="10">
        <v>1</v>
      </c>
      <c r="D49" s="10"/>
      <c r="E49" s="57"/>
      <c r="F49" s="10"/>
      <c r="G49" s="10"/>
    </row>
    <row r="50" spans="1:7" x14ac:dyDescent="0.25">
      <c r="A50" s="39">
        <v>46028</v>
      </c>
      <c r="B50" s="10" t="s">
        <v>62</v>
      </c>
      <c r="C50" s="10">
        <v>1</v>
      </c>
      <c r="D50" s="10"/>
      <c r="E50" s="57"/>
      <c r="F50" s="10"/>
      <c r="G50" s="10"/>
    </row>
    <row r="51" spans="1:7" x14ac:dyDescent="0.25">
      <c r="A51" s="39">
        <v>46030</v>
      </c>
      <c r="B51" s="10" t="s">
        <v>66</v>
      </c>
      <c r="C51" s="10">
        <v>1</v>
      </c>
      <c r="D51" s="10"/>
      <c r="E51" s="57"/>
      <c r="F51" s="10"/>
      <c r="G51" s="10"/>
    </row>
    <row r="52" spans="1:7" x14ac:dyDescent="0.25">
      <c r="A52" s="39">
        <v>46031</v>
      </c>
      <c r="B52" s="10" t="s">
        <v>49</v>
      </c>
      <c r="C52" s="10">
        <v>1</v>
      </c>
      <c r="D52" s="10"/>
      <c r="E52" s="57"/>
      <c r="F52" s="10"/>
      <c r="G52" s="10"/>
    </row>
    <row r="53" spans="1:7" x14ac:dyDescent="0.25">
      <c r="A53" s="39">
        <v>46031</v>
      </c>
      <c r="B53" s="10" t="s">
        <v>56</v>
      </c>
      <c r="C53" s="10">
        <v>1</v>
      </c>
      <c r="D53" s="10"/>
      <c r="E53" s="57"/>
      <c r="F53" s="10"/>
      <c r="G53" s="10"/>
    </row>
    <row r="54" spans="1:7" x14ac:dyDescent="0.25">
      <c r="A54" s="39">
        <v>46032</v>
      </c>
      <c r="B54" s="10" t="s">
        <v>70</v>
      </c>
      <c r="C54" s="10">
        <v>1</v>
      </c>
      <c r="D54" s="10"/>
      <c r="E54" s="57"/>
      <c r="F54" s="10"/>
      <c r="G54" s="10"/>
    </row>
    <row r="55" spans="1:7" x14ac:dyDescent="0.25">
      <c r="A55" s="39">
        <v>46032</v>
      </c>
      <c r="B55" s="10" t="s">
        <v>59</v>
      </c>
      <c r="C55" s="10">
        <v>1</v>
      </c>
      <c r="D55" s="10"/>
      <c r="E55" s="57"/>
      <c r="F55" s="10"/>
      <c r="G55" s="10"/>
    </row>
    <row r="56" spans="1:7" x14ac:dyDescent="0.25">
      <c r="A56" s="39">
        <v>46032</v>
      </c>
      <c r="B56" s="10" t="s">
        <v>58</v>
      </c>
      <c r="C56" s="10">
        <v>1</v>
      </c>
      <c r="D56" s="10"/>
      <c r="E56" s="57"/>
      <c r="F56" s="10"/>
      <c r="G56" s="10"/>
    </row>
    <row r="57" spans="1:7" x14ac:dyDescent="0.25">
      <c r="A57" s="39">
        <v>46033</v>
      </c>
      <c r="B57" s="10" t="s">
        <v>63</v>
      </c>
      <c r="C57" s="10">
        <v>1</v>
      </c>
      <c r="D57" s="10"/>
      <c r="E57" s="57"/>
      <c r="F57" s="10"/>
      <c r="G57" s="10"/>
    </row>
    <row r="58" spans="1:7" x14ac:dyDescent="0.25">
      <c r="A58" s="39">
        <v>46033</v>
      </c>
      <c r="B58" s="10" t="s">
        <v>71</v>
      </c>
      <c r="C58" s="10">
        <v>1</v>
      </c>
      <c r="D58" s="10"/>
      <c r="E58" s="57"/>
      <c r="F58" s="10"/>
      <c r="G58" s="10"/>
    </row>
    <row r="59" spans="1:7" x14ac:dyDescent="0.25">
      <c r="A59" s="39">
        <v>46033</v>
      </c>
      <c r="B59" s="10" t="s">
        <v>54</v>
      </c>
      <c r="C59" s="10">
        <v>1</v>
      </c>
      <c r="D59" s="10"/>
      <c r="E59" s="57"/>
      <c r="F59" s="10"/>
      <c r="G59" s="10"/>
    </row>
    <row r="60" spans="1:7" x14ac:dyDescent="0.25">
      <c r="A60" s="39"/>
      <c r="B60" s="10"/>
      <c r="C60" s="10"/>
      <c r="D60" s="10"/>
      <c r="E60" s="57"/>
      <c r="F60" s="10"/>
      <c r="G60" s="10"/>
    </row>
    <row r="61" spans="1:7" x14ac:dyDescent="0.25">
      <c r="A61" s="39"/>
      <c r="B61" s="10"/>
      <c r="C61" s="10"/>
      <c r="D61" s="10"/>
      <c r="E61" s="57"/>
      <c r="F61" s="10"/>
      <c r="G61" s="10"/>
    </row>
    <row r="62" spans="1:7" x14ac:dyDescent="0.25">
      <c r="A62" s="39"/>
      <c r="B62" s="10"/>
      <c r="C62" s="10"/>
      <c r="D62" s="10"/>
      <c r="E62" s="57"/>
      <c r="F62" s="10"/>
      <c r="G62" s="10"/>
    </row>
    <row r="63" spans="1:7" x14ac:dyDescent="0.25">
      <c r="A63" s="39"/>
      <c r="B63" s="10"/>
      <c r="C63" s="10"/>
      <c r="D63" s="10"/>
      <c r="E63" s="57"/>
      <c r="F63" s="10"/>
      <c r="G63" s="10"/>
    </row>
    <row r="64" spans="1:7" x14ac:dyDescent="0.25">
      <c r="A64" s="12" t="s">
        <v>77</v>
      </c>
      <c r="B64" s="13"/>
      <c r="C64" s="13"/>
      <c r="D64" s="13"/>
      <c r="E64" s="58"/>
      <c r="F64" s="13"/>
      <c r="G64" s="13"/>
    </row>
    <row r="65" spans="1:7" x14ac:dyDescent="0.25">
      <c r="A65" s="39"/>
      <c r="B65" s="10"/>
      <c r="C65" s="10"/>
      <c r="D65" s="10"/>
      <c r="E65" s="57"/>
      <c r="F65" s="10"/>
      <c r="G65" s="10"/>
    </row>
    <row r="66" spans="1:7" x14ac:dyDescent="0.25">
      <c r="A66" s="39"/>
      <c r="B66" s="10"/>
      <c r="C66" s="10"/>
      <c r="D66" s="10"/>
      <c r="E66" s="57"/>
      <c r="F66" s="10"/>
      <c r="G66" s="10"/>
    </row>
    <row r="67" spans="1:7" x14ac:dyDescent="0.25">
      <c r="A67" s="39"/>
      <c r="B67" s="10"/>
      <c r="C67" s="10"/>
      <c r="D67" s="10"/>
      <c r="E67" s="57"/>
      <c r="F67" s="10"/>
      <c r="G67" s="10"/>
    </row>
    <row r="68" spans="1:7" x14ac:dyDescent="0.25">
      <c r="A68" s="39"/>
      <c r="B68" s="10"/>
      <c r="C68" s="10"/>
      <c r="D68" s="10"/>
      <c r="E68" s="57"/>
      <c r="F68" s="10"/>
      <c r="G68" s="10"/>
    </row>
    <row r="69" spans="1:7" x14ac:dyDescent="0.25">
      <c r="A69" s="39"/>
      <c r="B69" s="10"/>
      <c r="C69" s="10"/>
      <c r="D69" s="10"/>
      <c r="E69" s="57"/>
      <c r="F69" s="10"/>
      <c r="G69" s="10"/>
    </row>
    <row r="70" spans="1:7" x14ac:dyDescent="0.25">
      <c r="A70" s="39"/>
      <c r="B70" s="10"/>
      <c r="C70" s="10"/>
      <c r="D70" s="10"/>
      <c r="E70" s="57"/>
      <c r="F70" s="10"/>
      <c r="G70" s="10"/>
    </row>
    <row r="71" spans="1:7" x14ac:dyDescent="0.25">
      <c r="A71" s="39"/>
      <c r="B71" s="10"/>
      <c r="C71" s="10"/>
      <c r="D71" s="10"/>
      <c r="E71" s="57"/>
      <c r="F71" s="10"/>
      <c r="G71" s="10"/>
    </row>
    <row r="72" spans="1:7" x14ac:dyDescent="0.25">
      <c r="A72" s="39"/>
      <c r="B72" s="10"/>
      <c r="C72" s="10"/>
      <c r="D72" s="10"/>
      <c r="E72" s="57"/>
      <c r="F72" s="10"/>
      <c r="G72" s="10"/>
    </row>
    <row r="73" spans="1:7" x14ac:dyDescent="0.25">
      <c r="A73" s="39"/>
      <c r="B73" s="10"/>
      <c r="C73" s="10"/>
      <c r="D73" s="10"/>
      <c r="E73" s="57"/>
      <c r="F73" s="10"/>
      <c r="G73" s="10"/>
    </row>
    <row r="74" spans="1:7" x14ac:dyDescent="0.25">
      <c r="A74" s="39"/>
      <c r="B74" s="10"/>
      <c r="C74" s="10"/>
      <c r="D74" s="10"/>
      <c r="E74" s="57"/>
      <c r="F74" s="10"/>
      <c r="G74" s="10"/>
    </row>
    <row r="75" spans="1:7" x14ac:dyDescent="0.25">
      <c r="A75" s="39"/>
      <c r="B75" s="10"/>
      <c r="C75" s="10"/>
      <c r="D75" s="10"/>
      <c r="E75" s="57"/>
      <c r="F75" s="10"/>
      <c r="G75" s="10"/>
    </row>
    <row r="76" spans="1:7" x14ac:dyDescent="0.25">
      <c r="A76" s="39"/>
      <c r="B76" s="10"/>
      <c r="C76" s="10"/>
      <c r="D76" s="10"/>
      <c r="E76" s="57"/>
      <c r="F76" s="10"/>
      <c r="G76" s="10"/>
    </row>
    <row r="77" spans="1:7" x14ac:dyDescent="0.25">
      <c r="A77" s="39"/>
      <c r="B77" s="10"/>
      <c r="C77" s="10"/>
      <c r="D77" s="10"/>
      <c r="E77" s="57"/>
      <c r="F77" s="10"/>
      <c r="G77" s="10"/>
    </row>
    <row r="78" spans="1:7" x14ac:dyDescent="0.25">
      <c r="A78" s="39"/>
      <c r="B78" s="10"/>
      <c r="C78" s="10"/>
      <c r="D78" s="10"/>
      <c r="E78" s="57"/>
      <c r="F78" s="10"/>
      <c r="G78" s="10"/>
    </row>
    <row r="79" spans="1:7" x14ac:dyDescent="0.25">
      <c r="A79" s="39"/>
      <c r="B79" s="10"/>
      <c r="C79" s="10"/>
      <c r="D79" s="10"/>
      <c r="E79" s="57"/>
      <c r="F79" s="10"/>
      <c r="G79" s="10"/>
    </row>
    <row r="80" spans="1:7" x14ac:dyDescent="0.25">
      <c r="A80" s="39"/>
      <c r="B80" s="10"/>
      <c r="C80" s="10"/>
      <c r="D80" s="10"/>
      <c r="E80" s="57"/>
      <c r="F80" s="10"/>
      <c r="G80" s="10"/>
    </row>
    <row r="81" spans="1:7" x14ac:dyDescent="0.25">
      <c r="A81" s="12" t="s">
        <v>78</v>
      </c>
      <c r="B81" s="13"/>
      <c r="C81" s="13"/>
      <c r="D81" s="13"/>
      <c r="E81" s="58"/>
      <c r="F81" s="13"/>
      <c r="G81" s="13"/>
    </row>
    <row r="82" spans="1:7" x14ac:dyDescent="0.25">
      <c r="A82" s="39"/>
      <c r="B82" s="10"/>
      <c r="C82" s="10"/>
      <c r="D82" s="10"/>
      <c r="E82" s="57"/>
      <c r="F82" s="10"/>
      <c r="G82" s="10"/>
    </row>
    <row r="83" spans="1:7" x14ac:dyDescent="0.25">
      <c r="A83" s="39"/>
      <c r="B83" s="10"/>
      <c r="C83" s="10"/>
      <c r="D83" s="10"/>
      <c r="E83" s="57"/>
      <c r="F83" s="10"/>
      <c r="G83" s="10"/>
    </row>
    <row r="84" spans="1:7" x14ac:dyDescent="0.25">
      <c r="A84" s="39"/>
      <c r="B84" s="10"/>
      <c r="C84" s="10"/>
      <c r="D84" s="10"/>
      <c r="E84" s="57"/>
      <c r="F84" s="10"/>
      <c r="G84" s="10"/>
    </row>
    <row r="85" spans="1:7" x14ac:dyDescent="0.25">
      <c r="A85" s="39"/>
      <c r="B85" s="10"/>
      <c r="C85" s="10"/>
      <c r="D85" s="10"/>
      <c r="E85" s="57"/>
      <c r="F85" s="10"/>
      <c r="G85" s="10"/>
    </row>
    <row r="86" spans="1:7" x14ac:dyDescent="0.25">
      <c r="A86" s="39"/>
      <c r="B86" s="10"/>
      <c r="C86" s="10"/>
      <c r="D86" s="10"/>
      <c r="E86" s="57"/>
      <c r="F86" s="10"/>
      <c r="G86" s="10"/>
    </row>
    <row r="87" spans="1:7" x14ac:dyDescent="0.25">
      <c r="A87" s="39"/>
      <c r="B87" s="10"/>
      <c r="C87" s="10"/>
      <c r="D87" s="10"/>
      <c r="E87" s="57"/>
      <c r="F87" s="10"/>
      <c r="G87" s="10"/>
    </row>
    <row r="88" spans="1:7" x14ac:dyDescent="0.25">
      <c r="A88" s="39"/>
      <c r="B88" s="10"/>
      <c r="C88" s="10"/>
      <c r="D88" s="10"/>
      <c r="E88" s="57"/>
      <c r="F88" s="10"/>
      <c r="G88" s="10"/>
    </row>
    <row r="89" spans="1:7" x14ac:dyDescent="0.25">
      <c r="A89" s="39"/>
      <c r="B89" s="10"/>
      <c r="C89" s="10"/>
      <c r="D89" s="10"/>
      <c r="E89" s="57"/>
      <c r="F89" s="10"/>
      <c r="G89" s="10"/>
    </row>
    <row r="90" spans="1:7" x14ac:dyDescent="0.25">
      <c r="A90" s="39"/>
      <c r="B90" s="10"/>
      <c r="C90" s="10"/>
      <c r="D90" s="10"/>
      <c r="E90" s="57"/>
      <c r="F90" s="10"/>
      <c r="G90" s="10"/>
    </row>
    <row r="91" spans="1:7" x14ac:dyDescent="0.25">
      <c r="A91" s="39"/>
      <c r="B91" s="10"/>
      <c r="C91" s="10"/>
      <c r="D91" s="10"/>
      <c r="E91" s="57"/>
      <c r="F91" s="10"/>
      <c r="G91" s="10"/>
    </row>
    <row r="92" spans="1:7" x14ac:dyDescent="0.25">
      <c r="A92" s="39"/>
      <c r="B92" s="10"/>
      <c r="C92" s="10"/>
      <c r="D92" s="10"/>
      <c r="E92" s="57"/>
      <c r="F92" s="10"/>
      <c r="G92" s="10"/>
    </row>
    <row r="93" spans="1:7" x14ac:dyDescent="0.25">
      <c r="A93" s="39"/>
      <c r="B93" s="10"/>
      <c r="C93" s="10"/>
      <c r="D93" s="10"/>
      <c r="E93" s="57"/>
      <c r="F93" s="10"/>
      <c r="G93" s="10"/>
    </row>
    <row r="94" spans="1:7" x14ac:dyDescent="0.25">
      <c r="A94" s="39"/>
      <c r="B94" s="10"/>
      <c r="C94" s="10"/>
      <c r="D94" s="10"/>
      <c r="E94" s="57"/>
      <c r="F94" s="10"/>
      <c r="G94" s="10"/>
    </row>
    <row r="95" spans="1:7" x14ac:dyDescent="0.25">
      <c r="A95" s="39"/>
      <c r="B95" s="10"/>
      <c r="C95" s="10"/>
      <c r="D95" s="10"/>
      <c r="E95" s="57"/>
      <c r="F95" s="10"/>
      <c r="G95" s="10"/>
    </row>
    <row r="96" spans="1:7" x14ac:dyDescent="0.25">
      <c r="A96" s="39"/>
      <c r="B96" s="10"/>
      <c r="C96" s="10"/>
      <c r="D96" s="10"/>
      <c r="E96" s="57"/>
      <c r="F96" s="10"/>
      <c r="G96" s="10"/>
    </row>
    <row r="97" spans="1:7" x14ac:dyDescent="0.25">
      <c r="A97" s="39"/>
      <c r="B97" s="10"/>
      <c r="C97" s="10"/>
      <c r="D97" s="10"/>
      <c r="E97" s="57"/>
      <c r="F97" s="10"/>
      <c r="G97" s="10"/>
    </row>
    <row r="98" spans="1:7" x14ac:dyDescent="0.25">
      <c r="A98" s="39"/>
      <c r="B98" s="10"/>
      <c r="C98" s="10"/>
      <c r="D98" s="10"/>
      <c r="E98" s="57"/>
      <c r="F98" s="10"/>
      <c r="G98" s="10"/>
    </row>
    <row r="99" spans="1:7" x14ac:dyDescent="0.25">
      <c r="A99" s="39"/>
      <c r="B99" s="10"/>
      <c r="C99" s="10"/>
      <c r="D99" s="10"/>
      <c r="E99" s="57"/>
      <c r="F99" s="10"/>
      <c r="G99" s="10"/>
    </row>
    <row r="100" spans="1:7" x14ac:dyDescent="0.25">
      <c r="A100" s="39"/>
      <c r="B100" s="10"/>
      <c r="C100" s="10"/>
      <c r="D100" s="10"/>
      <c r="E100" s="57"/>
      <c r="F100" s="10"/>
      <c r="G100" s="10"/>
    </row>
    <row r="101" spans="1:7" x14ac:dyDescent="0.25">
      <c r="A101" s="39"/>
      <c r="B101" s="10"/>
      <c r="C101" s="10"/>
      <c r="D101" s="10"/>
      <c r="E101" s="57"/>
      <c r="F101" s="10"/>
      <c r="G101" s="10"/>
    </row>
    <row r="102" spans="1:7" x14ac:dyDescent="0.25">
      <c r="A102" s="39"/>
      <c r="B102" s="10"/>
      <c r="C102" s="10"/>
      <c r="D102" s="10"/>
      <c r="E102" s="57"/>
      <c r="F102" s="10"/>
      <c r="G102" s="10"/>
    </row>
    <row r="103" spans="1:7" x14ac:dyDescent="0.25">
      <c r="A103" s="12" t="s">
        <v>79</v>
      </c>
      <c r="B103" s="13"/>
      <c r="C103" s="13"/>
      <c r="D103" s="13"/>
      <c r="E103" s="58"/>
      <c r="F103" s="13"/>
      <c r="G103" s="13"/>
    </row>
    <row r="104" spans="1:7" x14ac:dyDescent="0.25">
      <c r="A104" s="39"/>
      <c r="B104" s="10"/>
      <c r="C104" s="10"/>
      <c r="D104" s="10"/>
      <c r="E104" s="57"/>
      <c r="F104" s="10"/>
      <c r="G104" s="10"/>
    </row>
    <row r="105" spans="1:7" x14ac:dyDescent="0.25">
      <c r="A105" s="39"/>
      <c r="B105" s="10"/>
      <c r="C105" s="10"/>
      <c r="D105" s="10"/>
      <c r="E105" s="57"/>
      <c r="F105" s="10"/>
      <c r="G105" s="10"/>
    </row>
    <row r="106" spans="1:7" x14ac:dyDescent="0.25">
      <c r="A106" s="39"/>
      <c r="B106" s="10"/>
      <c r="C106" s="10"/>
      <c r="D106" s="10"/>
      <c r="E106" s="57"/>
      <c r="F106" s="10"/>
      <c r="G106" s="10"/>
    </row>
    <row r="107" spans="1:7" x14ac:dyDescent="0.25">
      <c r="A107" s="39"/>
      <c r="B107" s="10"/>
      <c r="C107" s="10"/>
      <c r="D107" s="10"/>
      <c r="E107" s="57"/>
      <c r="F107" s="10"/>
      <c r="G107" s="10"/>
    </row>
    <row r="108" spans="1:7" x14ac:dyDescent="0.25">
      <c r="A108" s="39"/>
      <c r="B108" s="10"/>
      <c r="C108" s="10"/>
      <c r="D108" s="10"/>
      <c r="E108" s="57"/>
      <c r="F108" s="10"/>
      <c r="G108" s="10"/>
    </row>
    <row r="109" spans="1:7" x14ac:dyDescent="0.25">
      <c r="A109" s="39"/>
      <c r="B109" s="10"/>
      <c r="C109" s="10"/>
      <c r="D109" s="10"/>
      <c r="E109" s="57"/>
      <c r="F109" s="10"/>
      <c r="G109" s="10"/>
    </row>
    <row r="110" spans="1:7" x14ac:dyDescent="0.25">
      <c r="A110" s="39"/>
      <c r="B110" s="10"/>
      <c r="C110" s="10"/>
      <c r="D110" s="10"/>
      <c r="E110" s="57"/>
      <c r="F110" s="10"/>
      <c r="G110" s="10"/>
    </row>
    <row r="111" spans="1:7" x14ac:dyDescent="0.25">
      <c r="A111" s="39"/>
      <c r="B111" s="10"/>
      <c r="C111" s="10"/>
      <c r="D111" s="10"/>
      <c r="E111" s="57"/>
      <c r="F111" s="10"/>
      <c r="G111" s="10"/>
    </row>
    <row r="112" spans="1:7" x14ac:dyDescent="0.25">
      <c r="A112" s="39"/>
      <c r="B112" s="10"/>
      <c r="C112" s="10"/>
      <c r="D112" s="10"/>
      <c r="E112" s="57"/>
      <c r="F112" s="10"/>
      <c r="G112" s="10"/>
    </row>
    <row r="113" spans="1:7" x14ac:dyDescent="0.25">
      <c r="A113" s="39"/>
      <c r="B113" s="10"/>
      <c r="C113" s="10"/>
      <c r="D113" s="10"/>
      <c r="E113" s="57"/>
      <c r="F113" s="10"/>
      <c r="G113" s="10"/>
    </row>
    <row r="114" spans="1:7" x14ac:dyDescent="0.25">
      <c r="A114" s="39"/>
      <c r="B114" s="10"/>
      <c r="C114" s="10"/>
      <c r="D114" s="10"/>
      <c r="E114" s="57"/>
      <c r="F114" s="10"/>
      <c r="G114" s="10"/>
    </row>
    <row r="115" spans="1:7" x14ac:dyDescent="0.25">
      <c r="A115" s="39"/>
      <c r="B115" s="10"/>
      <c r="C115" s="10"/>
      <c r="D115" s="10"/>
      <c r="E115" s="57"/>
      <c r="F115" s="10"/>
      <c r="G115" s="10"/>
    </row>
    <row r="116" spans="1:7" x14ac:dyDescent="0.25">
      <c r="A116" s="39"/>
      <c r="B116" s="10"/>
      <c r="C116" s="10"/>
      <c r="D116" s="10"/>
      <c r="E116" s="57"/>
      <c r="F116" s="10"/>
      <c r="G116" s="10"/>
    </row>
    <row r="117" spans="1:7" x14ac:dyDescent="0.25">
      <c r="A117" s="39"/>
      <c r="B117" s="10"/>
      <c r="C117" s="10"/>
      <c r="D117" s="10"/>
      <c r="E117" s="57"/>
      <c r="F117" s="10"/>
      <c r="G117" s="10"/>
    </row>
    <row r="118" spans="1:7" x14ac:dyDescent="0.25">
      <c r="A118" s="39"/>
      <c r="B118" s="10"/>
      <c r="C118" s="10"/>
      <c r="D118" s="10"/>
      <c r="E118" s="57"/>
      <c r="F118" s="10"/>
      <c r="G118" s="10"/>
    </row>
    <row r="119" spans="1:7" x14ac:dyDescent="0.25">
      <c r="A119" s="39"/>
      <c r="B119" s="10"/>
      <c r="C119" s="10"/>
      <c r="D119" s="10"/>
      <c r="E119" s="57"/>
      <c r="F119" s="10"/>
      <c r="G119" s="10"/>
    </row>
    <row r="120" spans="1:7" x14ac:dyDescent="0.25">
      <c r="A120" s="39"/>
      <c r="B120" s="10"/>
      <c r="C120" s="10"/>
      <c r="D120" s="10"/>
      <c r="E120" s="57"/>
      <c r="F120" s="10"/>
      <c r="G120" s="10"/>
    </row>
    <row r="121" spans="1:7" x14ac:dyDescent="0.25">
      <c r="A121" s="39"/>
      <c r="B121" s="10"/>
      <c r="C121" s="10"/>
      <c r="D121" s="10"/>
      <c r="E121" s="57"/>
      <c r="F121" s="10"/>
      <c r="G121" s="10"/>
    </row>
    <row r="122" spans="1:7" x14ac:dyDescent="0.25">
      <c r="A122" s="10"/>
      <c r="B122" s="10"/>
      <c r="C122" s="10"/>
      <c r="D122" s="10"/>
      <c r="E122" s="57"/>
      <c r="F122" s="10"/>
      <c r="G122" s="10"/>
    </row>
    <row r="123" spans="1:7" x14ac:dyDescent="0.25">
      <c r="A123" s="10"/>
      <c r="B123" s="10"/>
      <c r="C123" s="10"/>
      <c r="D123" s="10"/>
      <c r="E123" s="10"/>
      <c r="F123" s="10"/>
      <c r="G123" s="10"/>
    </row>
    <row r="124" spans="1:7" x14ac:dyDescent="0.25">
      <c r="A124" s="10"/>
      <c r="B124" s="10"/>
      <c r="C124" s="10"/>
      <c r="D124" s="10"/>
      <c r="E124" s="11"/>
      <c r="F124" s="59"/>
      <c r="G124" s="10"/>
    </row>
    <row r="125" spans="1:7" x14ac:dyDescent="0.25">
      <c r="A125" s="10"/>
      <c r="B125" s="10"/>
      <c r="C125" s="10"/>
      <c r="D125" s="10"/>
      <c r="E125" s="46"/>
      <c r="F125" s="59"/>
      <c r="G125" s="10"/>
    </row>
    <row r="126" spans="1:7" x14ac:dyDescent="0.25">
      <c r="A126" s="10"/>
      <c r="B126" s="10"/>
      <c r="C126" s="10"/>
      <c r="D126" s="10"/>
      <c r="E126" s="10"/>
      <c r="F126" s="10"/>
      <c r="G126" s="10"/>
    </row>
    <row r="127" spans="1:7" x14ac:dyDescent="0.25">
      <c r="A127" s="10"/>
      <c r="B127" s="10"/>
      <c r="C127" s="10"/>
      <c r="D127" s="11"/>
      <c r="E127" s="10"/>
      <c r="F127" s="10"/>
      <c r="G127" s="10"/>
    </row>
    <row r="128" spans="1:7" x14ac:dyDescent="0.25">
      <c r="D128" s="28"/>
    </row>
    <row r="129" spans="1:7" x14ac:dyDescent="0.25">
      <c r="B129" s="8" t="s">
        <v>64</v>
      </c>
      <c r="D129" s="60"/>
    </row>
    <row r="130" spans="1:7" x14ac:dyDescent="0.25">
      <c r="A130" s="61"/>
      <c r="B130" s="61" t="s">
        <v>21</v>
      </c>
      <c r="C130" s="61" t="s">
        <v>22</v>
      </c>
      <c r="D130" s="62" t="s">
        <v>23</v>
      </c>
      <c r="E130" s="61" t="s">
        <v>24</v>
      </c>
    </row>
    <row r="131" spans="1:7" s="8" customFormat="1" x14ac:dyDescent="0.25">
      <c r="A131" s="61" t="s">
        <v>25</v>
      </c>
      <c r="B131" s="61">
        <v>11</v>
      </c>
      <c r="C131" s="61">
        <v>38</v>
      </c>
      <c r="D131" s="61"/>
      <c r="E131" s="61">
        <v>38</v>
      </c>
    </row>
    <row r="132" spans="1:7" s="8" customFormat="1" x14ac:dyDescent="0.25">
      <c r="A132" s="61" t="s">
        <v>26</v>
      </c>
      <c r="B132" s="61">
        <v>54</v>
      </c>
      <c r="C132" s="61">
        <f>SUM(D124:D125)</f>
        <v>0</v>
      </c>
      <c r="D132" s="61"/>
      <c r="E132" s="61">
        <f>SUM(F124:F125)</f>
        <v>0</v>
      </c>
    </row>
    <row r="134" spans="1:7" s="8" customFormat="1" x14ac:dyDescent="0.25">
      <c r="A134" s="82" t="s">
        <v>81</v>
      </c>
      <c r="B134" s="82"/>
      <c r="C134" s="49"/>
      <c r="D134" s="49"/>
      <c r="E134" s="49"/>
      <c r="F134" s="49"/>
      <c r="G134" s="49"/>
    </row>
    <row r="135" spans="1:7" s="8" customFormat="1" x14ac:dyDescent="0.25">
      <c r="A135" s="74">
        <v>46026</v>
      </c>
      <c r="B135" s="75" t="s">
        <v>82</v>
      </c>
      <c r="C135" s="75">
        <v>8</v>
      </c>
      <c r="D135" s="75">
        <v>8</v>
      </c>
      <c r="E135" s="76">
        <v>0.16666666666666666</v>
      </c>
      <c r="F135" s="75" t="s">
        <v>81</v>
      </c>
      <c r="G135" s="75" t="s">
        <v>50</v>
      </c>
    </row>
    <row r="136" spans="1:7" s="8" customFormat="1" x14ac:dyDescent="0.25">
      <c r="A136" s="74">
        <v>46026</v>
      </c>
      <c r="B136" s="8" t="s">
        <v>83</v>
      </c>
      <c r="C136" s="8">
        <v>2</v>
      </c>
      <c r="D136" s="8">
        <v>2</v>
      </c>
      <c r="E136" s="73">
        <v>0.16666666666666666</v>
      </c>
      <c r="F136" s="75" t="s">
        <v>81</v>
      </c>
      <c r="G136" s="75" t="s">
        <v>50</v>
      </c>
    </row>
    <row r="137" spans="1:7" s="8" customFormat="1" x14ac:dyDescent="0.25">
      <c r="A137" s="70"/>
    </row>
    <row r="138" spans="1:7" s="8" customFormat="1" x14ac:dyDescent="0.25">
      <c r="A138" s="70"/>
    </row>
    <row r="139" spans="1:7" s="8" customFormat="1" x14ac:dyDescent="0.25">
      <c r="A139" s="70"/>
    </row>
    <row r="140" spans="1:7" s="8" customFormat="1" x14ac:dyDescent="0.25">
      <c r="A140" s="70"/>
    </row>
    <row r="141" spans="1:7" s="8" customFormat="1" x14ac:dyDescent="0.25">
      <c r="A141" s="70"/>
    </row>
    <row r="142" spans="1:7" s="8" customFormat="1" x14ac:dyDescent="0.25">
      <c r="A142" s="70"/>
    </row>
    <row r="143" spans="1:7" s="8" customFormat="1" x14ac:dyDescent="0.25">
      <c r="A143" s="70"/>
    </row>
    <row r="144" spans="1:7" s="8" customFormat="1" x14ac:dyDescent="0.25">
      <c r="A144" s="70"/>
    </row>
    <row r="145" spans="1:1" s="8" customFormat="1" x14ac:dyDescent="0.25">
      <c r="A145" s="70"/>
    </row>
    <row r="146" spans="1:1" s="8" customFormat="1" x14ac:dyDescent="0.25">
      <c r="A146" s="70"/>
    </row>
    <row r="147" spans="1:1" s="8" customFormat="1" x14ac:dyDescent="0.25">
      <c r="A147" s="70"/>
    </row>
    <row r="148" spans="1:1" s="8" customFormat="1" x14ac:dyDescent="0.25">
      <c r="A148" s="70"/>
    </row>
    <row r="149" spans="1:1" s="8" customFormat="1" x14ac:dyDescent="0.25">
      <c r="A149" s="70"/>
    </row>
    <row r="150" spans="1:1" s="8" customFormat="1" x14ac:dyDescent="0.25">
      <c r="A150" s="70"/>
    </row>
    <row r="151" spans="1:1" s="8" customFormat="1" x14ac:dyDescent="0.25">
      <c r="A151" s="70"/>
    </row>
    <row r="152" spans="1:1" s="8" customFormat="1" x14ac:dyDescent="0.25">
      <c r="A152" s="70"/>
    </row>
    <row r="153" spans="1:1" s="8" customFormat="1" x14ac:dyDescent="0.25">
      <c r="A153" s="70"/>
    </row>
    <row r="154" spans="1:1" s="8" customFormat="1" x14ac:dyDescent="0.25">
      <c r="A154" s="70"/>
    </row>
    <row r="155" spans="1:1" s="8" customFormat="1" x14ac:dyDescent="0.25">
      <c r="A155" s="70"/>
    </row>
    <row r="156" spans="1:1" s="8" customFormat="1" x14ac:dyDescent="0.25">
      <c r="A156" s="70"/>
    </row>
    <row r="157" spans="1:1" s="8" customFormat="1" x14ac:dyDescent="0.25">
      <c r="A157" s="70"/>
    </row>
    <row r="158" spans="1:1" s="8" customFormat="1" x14ac:dyDescent="0.25">
      <c r="A158" s="70"/>
    </row>
    <row r="159" spans="1:1" s="8" customFormat="1" x14ac:dyDescent="0.25">
      <c r="A159" s="70"/>
    </row>
    <row r="160" spans="1:1" s="8" customFormat="1" x14ac:dyDescent="0.25">
      <c r="A160" s="70"/>
    </row>
    <row r="161" spans="1:1" s="8" customFormat="1" x14ac:dyDescent="0.25">
      <c r="A161" s="70"/>
    </row>
    <row r="162" spans="1:1" s="8" customFormat="1" x14ac:dyDescent="0.25">
      <c r="A162" s="70"/>
    </row>
    <row r="163" spans="1:1" s="8" customFormat="1" x14ac:dyDescent="0.25">
      <c r="A163" s="70"/>
    </row>
    <row r="164" spans="1:1" s="8" customFormat="1" x14ac:dyDescent="0.25">
      <c r="A164" s="70"/>
    </row>
    <row r="165" spans="1:1" s="8" customFormat="1" x14ac:dyDescent="0.25">
      <c r="A165" s="70"/>
    </row>
    <row r="166" spans="1:1" s="8" customFormat="1" x14ac:dyDescent="0.25">
      <c r="A166" s="70"/>
    </row>
    <row r="167" spans="1:1" s="8" customFormat="1" x14ac:dyDescent="0.25">
      <c r="A167" s="70"/>
    </row>
    <row r="168" spans="1:1" s="8" customFormat="1" x14ac:dyDescent="0.25">
      <c r="A168" s="70"/>
    </row>
    <row r="169" spans="1:1" s="8" customFormat="1" x14ac:dyDescent="0.25">
      <c r="A169" s="70"/>
    </row>
    <row r="170" spans="1:1" s="8" customFormat="1" x14ac:dyDescent="0.25">
      <c r="A170" s="70"/>
    </row>
    <row r="171" spans="1:1" s="8" customFormat="1" x14ac:dyDescent="0.25">
      <c r="A171" s="70"/>
    </row>
    <row r="172" spans="1:1" s="8" customFormat="1" x14ac:dyDescent="0.25">
      <c r="A172" s="70"/>
    </row>
    <row r="173" spans="1:1" s="8" customFormat="1" x14ac:dyDescent="0.25">
      <c r="A173" s="70"/>
    </row>
    <row r="174" spans="1:1" s="8" customFormat="1" x14ac:dyDescent="0.25">
      <c r="A174" s="70"/>
    </row>
    <row r="175" spans="1:1" s="8" customFormat="1" x14ac:dyDescent="0.25">
      <c r="A175" s="70"/>
    </row>
    <row r="176" spans="1:1" s="8" customFormat="1" x14ac:dyDescent="0.25">
      <c r="A176" s="70"/>
    </row>
    <row r="177" spans="1:1" s="8" customFormat="1" x14ac:dyDescent="0.25">
      <c r="A177" s="70"/>
    </row>
    <row r="178" spans="1:1" s="8" customFormat="1" x14ac:dyDescent="0.25">
      <c r="A178" s="70"/>
    </row>
    <row r="179" spans="1:1" s="8" customFormat="1" x14ac:dyDescent="0.25">
      <c r="A179" s="70"/>
    </row>
    <row r="180" spans="1:1" s="8" customFormat="1" x14ac:dyDescent="0.25">
      <c r="A180" s="70"/>
    </row>
    <row r="181" spans="1:1" s="8" customFormat="1" x14ac:dyDescent="0.25">
      <c r="A181" s="70"/>
    </row>
    <row r="182" spans="1:1" s="8" customFormat="1" x14ac:dyDescent="0.25">
      <c r="A182" s="70"/>
    </row>
    <row r="183" spans="1:1" s="8" customFormat="1" x14ac:dyDescent="0.25">
      <c r="A183" s="70"/>
    </row>
    <row r="184" spans="1:1" s="8" customFormat="1" x14ac:dyDescent="0.25">
      <c r="A184" s="70"/>
    </row>
    <row r="185" spans="1:1" s="8" customFormat="1" x14ac:dyDescent="0.25">
      <c r="A185" s="60"/>
    </row>
  </sheetData>
  <mergeCells count="1">
    <mergeCell ref="A134:B1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44BA-E04E-4B6E-AB8A-5890275FD15B}">
  <dimension ref="A1:G183"/>
  <sheetViews>
    <sheetView workbookViewId="0">
      <selection activeCell="B41" sqref="B41"/>
    </sheetView>
  </sheetViews>
  <sheetFormatPr defaultRowHeight="15" x14ac:dyDescent="0.25"/>
  <cols>
    <col min="1" max="1" width="11.25" style="8" customWidth="1"/>
    <col min="2" max="2" width="15.125" style="8" customWidth="1"/>
    <col min="3" max="3" width="17.125" style="8" customWidth="1"/>
    <col min="4" max="4" width="16.5" style="8" customWidth="1"/>
    <col min="5" max="5" width="15.75" style="8" customWidth="1"/>
    <col min="6" max="6" width="24.25" style="8" customWidth="1"/>
    <col min="7" max="7" width="21.75" style="8" customWidth="1"/>
  </cols>
  <sheetData>
    <row r="1" spans="1:7" x14ac:dyDescent="0.25">
      <c r="A1" s="24" t="s">
        <v>29</v>
      </c>
      <c r="B1" s="24" t="s">
        <v>30</v>
      </c>
      <c r="C1" s="24" t="s">
        <v>31</v>
      </c>
      <c r="D1" s="7" t="s">
        <v>0</v>
      </c>
      <c r="E1" s="7" t="s">
        <v>1</v>
      </c>
      <c r="F1" s="7" t="s">
        <v>2</v>
      </c>
      <c r="G1" s="7" t="s">
        <v>3</v>
      </c>
    </row>
    <row r="2" spans="1:7" x14ac:dyDescent="0.25">
      <c r="A2" s="2">
        <v>46055</v>
      </c>
      <c r="B2" s="3">
        <v>46054</v>
      </c>
      <c r="C2" s="3">
        <v>46061</v>
      </c>
      <c r="D2" s="4"/>
      <c r="E2" s="4"/>
      <c r="F2" s="44"/>
      <c r="G2" s="4"/>
    </row>
    <row r="3" spans="1:7" x14ac:dyDescent="0.25">
      <c r="A3" s="2">
        <v>46055</v>
      </c>
      <c r="B3" s="3">
        <v>46062</v>
      </c>
      <c r="C3" s="3">
        <v>46068</v>
      </c>
      <c r="D3" s="4"/>
      <c r="E3" s="4"/>
      <c r="F3" s="44"/>
      <c r="G3" s="4"/>
    </row>
    <row r="4" spans="1:7" x14ac:dyDescent="0.25">
      <c r="A4" s="2">
        <v>46055</v>
      </c>
      <c r="B4" s="3">
        <v>46069</v>
      </c>
      <c r="C4" s="3">
        <v>46075</v>
      </c>
      <c r="D4" s="4"/>
      <c r="E4" s="4"/>
      <c r="F4" s="44"/>
      <c r="G4" s="4"/>
    </row>
    <row r="5" spans="1:7" x14ac:dyDescent="0.25">
      <c r="A5" s="2">
        <v>46055</v>
      </c>
      <c r="B5" s="3">
        <v>46076</v>
      </c>
      <c r="C5" s="3">
        <v>46082</v>
      </c>
      <c r="D5" s="4"/>
      <c r="E5" s="4"/>
      <c r="F5" s="44"/>
      <c r="G5" s="4"/>
    </row>
    <row r="6" spans="1:7" x14ac:dyDescent="0.25">
      <c r="A6" s="2"/>
      <c r="B6" s="3"/>
      <c r="C6" s="6" t="s">
        <v>32</v>
      </c>
      <c r="D6" s="7">
        <f>SUM(D2:D5)</f>
        <v>0</v>
      </c>
      <c r="E6" s="7">
        <f>SUM(E2:E5)</f>
        <v>0</v>
      </c>
      <c r="F6" s="45">
        <f>SUM(F2:F5)</f>
        <v>0</v>
      </c>
      <c r="G6" s="7">
        <f>SUM(G2:G5)</f>
        <v>0</v>
      </c>
    </row>
    <row r="7" spans="1:7" x14ac:dyDescent="0.25">
      <c r="C7" s="9"/>
      <c r="D7" s="13" t="s">
        <v>5</v>
      </c>
      <c r="E7" s="13" t="s">
        <v>6</v>
      </c>
      <c r="F7" s="13" t="s">
        <v>7</v>
      </c>
      <c r="G7" s="13" t="s">
        <v>8</v>
      </c>
    </row>
    <row r="8" spans="1:7" x14ac:dyDescent="0.25">
      <c r="A8" s="2">
        <v>46055</v>
      </c>
      <c r="B8" s="3">
        <v>46054</v>
      </c>
      <c r="C8" s="3">
        <v>46061</v>
      </c>
      <c r="D8" s="10"/>
      <c r="E8" s="10"/>
      <c r="F8" s="46"/>
      <c r="G8" s="10"/>
    </row>
    <row r="9" spans="1:7" x14ac:dyDescent="0.25">
      <c r="A9" s="2">
        <v>46055</v>
      </c>
      <c r="B9" s="3">
        <v>46062</v>
      </c>
      <c r="C9" s="3">
        <v>46068</v>
      </c>
      <c r="D9" s="10"/>
      <c r="E9" s="10"/>
      <c r="F9" s="46"/>
      <c r="G9" s="10"/>
    </row>
    <row r="10" spans="1:7" x14ac:dyDescent="0.25">
      <c r="A10" s="2">
        <v>46055</v>
      </c>
      <c r="B10" s="3">
        <v>46069</v>
      </c>
      <c r="C10" s="3">
        <v>46075</v>
      </c>
      <c r="D10" s="10"/>
      <c r="E10" s="10"/>
      <c r="F10" s="46"/>
      <c r="G10" s="10"/>
    </row>
    <row r="11" spans="1:7" x14ac:dyDescent="0.25">
      <c r="A11" s="2">
        <v>46055</v>
      </c>
      <c r="B11" s="3">
        <v>46076</v>
      </c>
      <c r="C11" s="3">
        <v>46082</v>
      </c>
      <c r="D11" s="10"/>
      <c r="E11" s="10"/>
      <c r="F11" s="46"/>
      <c r="G11" s="10"/>
    </row>
    <row r="12" spans="1:7" x14ac:dyDescent="0.25">
      <c r="A12" s="2"/>
      <c r="B12" s="3"/>
      <c r="C12" s="12" t="s">
        <v>33</v>
      </c>
      <c r="D12" s="13">
        <f>SUM(D8:D11)</f>
        <v>0</v>
      </c>
      <c r="E12" s="13">
        <f>SUM(E8:E11)</f>
        <v>0</v>
      </c>
      <c r="F12" s="47">
        <f>SUM(F8:F11)</f>
        <v>0</v>
      </c>
      <c r="G12" s="13">
        <f>SUM(G8:G11)</f>
        <v>0</v>
      </c>
    </row>
    <row r="13" spans="1:7" x14ac:dyDescent="0.25">
      <c r="C13" s="14"/>
      <c r="D13" s="15" t="s">
        <v>9</v>
      </c>
      <c r="E13" s="15" t="s">
        <v>10</v>
      </c>
      <c r="F13" s="15" t="s">
        <v>11</v>
      </c>
      <c r="G13" s="15" t="s">
        <v>12</v>
      </c>
    </row>
    <row r="14" spans="1:7" x14ac:dyDescent="0.25">
      <c r="A14" s="2">
        <v>46055</v>
      </c>
      <c r="B14" s="3">
        <v>46054</v>
      </c>
      <c r="C14" s="3">
        <v>46061</v>
      </c>
      <c r="D14" s="16"/>
      <c r="E14" s="16"/>
      <c r="F14" s="17"/>
      <c r="G14" s="16"/>
    </row>
    <row r="15" spans="1:7" x14ac:dyDescent="0.25">
      <c r="A15" s="2">
        <v>46055</v>
      </c>
      <c r="B15" s="3">
        <v>46062</v>
      </c>
      <c r="C15" s="3">
        <v>46068</v>
      </c>
      <c r="D15" s="16"/>
      <c r="E15" s="16"/>
      <c r="F15" s="17"/>
      <c r="G15" s="16"/>
    </row>
    <row r="16" spans="1:7" x14ac:dyDescent="0.25">
      <c r="A16" s="2">
        <v>46055</v>
      </c>
      <c r="B16" s="3">
        <v>46069</v>
      </c>
      <c r="C16" s="3">
        <v>46075</v>
      </c>
      <c r="D16" s="16"/>
      <c r="E16" s="16"/>
      <c r="F16" s="17"/>
      <c r="G16" s="16"/>
    </row>
    <row r="17" spans="1:7" x14ac:dyDescent="0.25">
      <c r="A17" s="2">
        <v>46055</v>
      </c>
      <c r="B17" s="3">
        <v>46076</v>
      </c>
      <c r="C17" s="3">
        <v>46082</v>
      </c>
      <c r="D17" s="16"/>
      <c r="E17" s="16"/>
      <c r="F17" s="17"/>
      <c r="G17" s="16"/>
    </row>
    <row r="18" spans="1:7" x14ac:dyDescent="0.25">
      <c r="A18" s="2"/>
      <c r="B18" s="3"/>
      <c r="C18" s="18" t="s">
        <v>34</v>
      </c>
      <c r="D18" s="15">
        <f>SUM(D14:D17)</f>
        <v>0</v>
      </c>
      <c r="E18" s="15">
        <f>SUM(E14:E17)</f>
        <v>0</v>
      </c>
      <c r="F18" s="19">
        <f>SUM(F14:F17)</f>
        <v>0</v>
      </c>
      <c r="G18" s="15">
        <f>SUM(G14:G17)</f>
        <v>0</v>
      </c>
    </row>
    <row r="19" spans="1:7" x14ac:dyDescent="0.25">
      <c r="D19" s="24"/>
    </row>
    <row r="20" spans="1:7" x14ac:dyDescent="0.25">
      <c r="B20" s="20"/>
      <c r="C20" s="20"/>
      <c r="D20" s="21" t="s">
        <v>13</v>
      </c>
      <c r="E20" s="21" t="s">
        <v>14</v>
      </c>
      <c r="F20" s="21" t="s">
        <v>15</v>
      </c>
      <c r="G20" s="21" t="s">
        <v>16</v>
      </c>
    </row>
    <row r="21" spans="1:7" x14ac:dyDescent="0.25">
      <c r="B21" s="20"/>
      <c r="C21" s="21" t="s">
        <v>53</v>
      </c>
      <c r="D21" s="21">
        <f>SUM(D18,D12,D6)</f>
        <v>0</v>
      </c>
      <c r="E21" s="21">
        <f>SUM(E18,E12,E6)</f>
        <v>0</v>
      </c>
      <c r="F21" s="22">
        <f>SUM(F18,F12,F6)</f>
        <v>0</v>
      </c>
      <c r="G21" s="21">
        <f>SUM(G18,G12,G6)</f>
        <v>0</v>
      </c>
    </row>
    <row r="23" spans="1:7" x14ac:dyDescent="0.25">
      <c r="A23" s="7" t="s">
        <v>35</v>
      </c>
      <c r="B23" s="7" t="s">
        <v>36</v>
      </c>
      <c r="C23" s="7" t="s">
        <v>37</v>
      </c>
      <c r="D23" s="7" t="s">
        <v>38</v>
      </c>
      <c r="E23" s="7" t="s">
        <v>39</v>
      </c>
      <c r="F23" s="35" t="s">
        <v>18</v>
      </c>
      <c r="G23" s="40"/>
    </row>
    <row r="24" spans="1:7" x14ac:dyDescent="0.25">
      <c r="A24" s="23"/>
      <c r="B24" s="4"/>
      <c r="C24" s="4"/>
      <c r="D24" s="71"/>
      <c r="E24" s="4"/>
    </row>
    <row r="25" spans="1:7" x14ac:dyDescent="0.25">
      <c r="A25" s="23"/>
      <c r="B25" s="4"/>
      <c r="C25" s="4"/>
      <c r="D25" s="5"/>
      <c r="E25" s="4"/>
    </row>
    <row r="26" spans="1:7" x14ac:dyDescent="0.25">
      <c r="A26" s="23"/>
      <c r="B26" s="4"/>
      <c r="C26" s="4"/>
      <c r="D26" s="5"/>
      <c r="E26" s="4"/>
    </row>
    <row r="27" spans="1:7" x14ac:dyDescent="0.25">
      <c r="A27" s="23"/>
      <c r="B27" s="4"/>
      <c r="C27" s="4"/>
      <c r="D27" s="5"/>
      <c r="E27" s="4"/>
    </row>
    <row r="28" spans="1:7" x14ac:dyDescent="0.25">
      <c r="B28" s="8" t="s">
        <v>4</v>
      </c>
      <c r="C28" s="24">
        <f>SUM(C24:C27)</f>
        <v>0</v>
      </c>
      <c r="D28" s="25">
        <f>SUM(D24:D27)</f>
        <v>0</v>
      </c>
    </row>
    <row r="29" spans="1:7" x14ac:dyDescent="0.25">
      <c r="A29" s="23"/>
      <c r="B29" s="4"/>
      <c r="C29" s="4"/>
      <c r="D29" s="5"/>
      <c r="E29" s="4"/>
    </row>
    <row r="30" spans="1:7" x14ac:dyDescent="0.25">
      <c r="B30" s="8" t="s">
        <v>4</v>
      </c>
      <c r="C30" s="24">
        <f>SUM(C29)</f>
        <v>0</v>
      </c>
      <c r="D30" s="25">
        <f>SUM(D29)</f>
        <v>0</v>
      </c>
    </row>
    <row r="31" spans="1:7" x14ac:dyDescent="0.25">
      <c r="C31" s="24"/>
      <c r="D31" s="25"/>
    </row>
    <row r="32" spans="1:7" x14ac:dyDescent="0.25">
      <c r="A32" s="26"/>
      <c r="B32" s="26"/>
      <c r="C32" s="26" t="s">
        <v>41</v>
      </c>
    </row>
    <row r="33" spans="1:7" x14ac:dyDescent="0.25">
      <c r="A33" s="13" t="s">
        <v>42</v>
      </c>
      <c r="B33" s="13" t="s">
        <v>43</v>
      </c>
      <c r="C33" s="13" t="s">
        <v>44</v>
      </c>
      <c r="D33" s="13" t="s">
        <v>45</v>
      </c>
      <c r="E33" s="13" t="s">
        <v>46</v>
      </c>
      <c r="F33" s="13" t="s">
        <v>47</v>
      </c>
      <c r="G33" s="13" t="s">
        <v>48</v>
      </c>
    </row>
    <row r="34" spans="1:7" x14ac:dyDescent="0.25">
      <c r="A34" s="13" t="s">
        <v>85</v>
      </c>
      <c r="B34" s="13"/>
      <c r="C34" s="13"/>
      <c r="D34" s="13"/>
      <c r="E34" s="13"/>
      <c r="F34" s="13"/>
      <c r="G34" s="13"/>
    </row>
    <row r="35" spans="1:7" x14ac:dyDescent="0.25">
      <c r="A35" s="39"/>
      <c r="B35" s="10"/>
      <c r="C35" s="10"/>
      <c r="D35" s="10"/>
      <c r="E35" s="57"/>
      <c r="F35" s="10"/>
      <c r="G35" s="10"/>
    </row>
    <row r="36" spans="1:7" x14ac:dyDescent="0.25">
      <c r="A36" s="39"/>
      <c r="B36" s="10"/>
      <c r="C36" s="10"/>
      <c r="D36" s="10"/>
      <c r="E36" s="57"/>
      <c r="F36" s="10"/>
      <c r="G36" s="10"/>
    </row>
    <row r="37" spans="1:7" x14ac:dyDescent="0.25">
      <c r="A37" s="39"/>
      <c r="B37" s="10"/>
      <c r="C37" s="10"/>
      <c r="D37" s="10"/>
      <c r="E37" s="57"/>
      <c r="F37" s="10"/>
      <c r="G37" s="10"/>
    </row>
    <row r="38" spans="1:7" x14ac:dyDescent="0.25">
      <c r="A38" s="39"/>
      <c r="B38" s="10"/>
      <c r="C38" s="10"/>
      <c r="D38" s="10"/>
      <c r="E38" s="57"/>
      <c r="F38" s="10"/>
      <c r="G38" s="10"/>
    </row>
    <row r="39" spans="1:7" x14ac:dyDescent="0.25">
      <c r="A39" s="39"/>
      <c r="B39" s="10"/>
      <c r="C39" s="10"/>
      <c r="D39" s="10"/>
      <c r="E39" s="57"/>
      <c r="F39" s="10"/>
      <c r="G39" s="10"/>
    </row>
    <row r="40" spans="1:7" x14ac:dyDescent="0.25">
      <c r="A40" s="39"/>
      <c r="B40" s="10"/>
      <c r="C40" s="10"/>
      <c r="D40" s="10"/>
      <c r="E40" s="57"/>
      <c r="F40" s="10"/>
      <c r="G40" s="10"/>
    </row>
    <row r="41" spans="1:7" x14ac:dyDescent="0.25">
      <c r="A41" s="39"/>
      <c r="B41" s="10"/>
      <c r="C41" s="10"/>
      <c r="D41" s="10"/>
      <c r="E41" s="57"/>
      <c r="F41" s="10"/>
      <c r="G41" s="10"/>
    </row>
    <row r="42" spans="1:7" x14ac:dyDescent="0.25">
      <c r="A42" s="39"/>
      <c r="B42" s="10"/>
      <c r="C42" s="10"/>
      <c r="D42" s="10"/>
      <c r="E42" s="57"/>
      <c r="F42" s="10"/>
      <c r="G42" s="10"/>
    </row>
    <row r="43" spans="1:7" x14ac:dyDescent="0.25">
      <c r="A43" s="39"/>
      <c r="B43" s="10"/>
      <c r="C43" s="10"/>
      <c r="D43" s="10"/>
      <c r="E43" s="57"/>
      <c r="F43" s="10"/>
      <c r="G43" s="10"/>
    </row>
    <row r="44" spans="1:7" x14ac:dyDescent="0.25">
      <c r="A44" s="39"/>
      <c r="B44" s="10"/>
      <c r="C44" s="10"/>
      <c r="D44" s="10"/>
      <c r="E44" s="57"/>
      <c r="F44" s="10"/>
      <c r="G44" s="10"/>
    </row>
    <row r="45" spans="1:7" x14ac:dyDescent="0.25">
      <c r="A45" s="39"/>
      <c r="B45" s="10"/>
      <c r="C45" s="10"/>
      <c r="D45" s="10"/>
      <c r="E45" s="57"/>
      <c r="F45" s="10"/>
      <c r="G45" s="10"/>
    </row>
    <row r="46" spans="1:7" x14ac:dyDescent="0.25">
      <c r="A46" s="39"/>
      <c r="B46" s="10"/>
      <c r="C46" s="10"/>
      <c r="D46" s="10"/>
      <c r="E46" s="57"/>
      <c r="F46" s="10"/>
      <c r="G46" s="10"/>
    </row>
    <row r="47" spans="1:7" x14ac:dyDescent="0.25">
      <c r="A47" s="39"/>
      <c r="B47" s="10"/>
      <c r="C47" s="10"/>
      <c r="D47" s="10"/>
      <c r="E47" s="57"/>
      <c r="F47" s="10"/>
      <c r="G47" s="10"/>
    </row>
    <row r="48" spans="1:7" x14ac:dyDescent="0.25">
      <c r="A48" s="39"/>
      <c r="B48" s="10"/>
      <c r="C48" s="10"/>
      <c r="D48" s="10"/>
      <c r="E48" s="57"/>
      <c r="F48" s="10"/>
      <c r="G48" s="10"/>
    </row>
    <row r="49" spans="1:7" x14ac:dyDescent="0.25">
      <c r="A49" s="39"/>
      <c r="B49" s="10"/>
      <c r="C49" s="10"/>
      <c r="D49" s="10"/>
      <c r="E49" s="57"/>
      <c r="F49" s="10"/>
      <c r="G49" s="10"/>
    </row>
    <row r="50" spans="1:7" x14ac:dyDescent="0.25">
      <c r="A50" s="39"/>
      <c r="B50" s="10"/>
      <c r="C50" s="10"/>
      <c r="D50" s="10"/>
      <c r="E50" s="57"/>
      <c r="F50" s="10"/>
      <c r="G50" s="10"/>
    </row>
    <row r="51" spans="1:7" x14ac:dyDescent="0.25">
      <c r="A51" s="39"/>
      <c r="B51" s="10"/>
      <c r="C51" s="10"/>
      <c r="D51" s="10"/>
      <c r="E51" s="57"/>
      <c r="F51" s="10"/>
      <c r="G51" s="10"/>
    </row>
    <row r="52" spans="1:7" x14ac:dyDescent="0.25">
      <c r="A52" s="39"/>
      <c r="B52" s="10"/>
      <c r="C52" s="10"/>
      <c r="D52" s="10"/>
      <c r="E52" s="57"/>
      <c r="F52" s="10"/>
      <c r="G52" s="10"/>
    </row>
    <row r="53" spans="1:7" x14ac:dyDescent="0.25">
      <c r="A53" s="39"/>
      <c r="B53" s="10"/>
      <c r="C53" s="10"/>
      <c r="D53" s="10"/>
      <c r="E53" s="57"/>
      <c r="F53" s="10"/>
      <c r="G53" s="10"/>
    </row>
    <row r="54" spans="1:7" x14ac:dyDescent="0.25">
      <c r="A54" s="39"/>
      <c r="B54" s="10"/>
      <c r="C54" s="10"/>
      <c r="D54" s="10"/>
      <c r="E54" s="57"/>
      <c r="F54" s="10"/>
      <c r="G54" s="10"/>
    </row>
    <row r="55" spans="1:7" x14ac:dyDescent="0.25">
      <c r="A55" s="78" t="s">
        <v>88</v>
      </c>
      <c r="B55" s="13"/>
      <c r="C55" s="13"/>
      <c r="D55" s="13"/>
      <c r="E55" s="13"/>
      <c r="F55" s="13"/>
      <c r="G55" s="13"/>
    </row>
    <row r="56" spans="1:7" x14ac:dyDescent="0.25">
      <c r="A56" s="39"/>
      <c r="B56" s="10"/>
      <c r="C56" s="10"/>
      <c r="D56" s="10"/>
      <c r="E56" s="57"/>
      <c r="F56" s="10"/>
      <c r="G56" s="10"/>
    </row>
    <row r="57" spans="1:7" x14ac:dyDescent="0.25">
      <c r="A57" s="39"/>
      <c r="B57" s="10"/>
      <c r="C57" s="10"/>
      <c r="D57" s="10"/>
      <c r="E57" s="57"/>
      <c r="F57" s="10"/>
      <c r="G57" s="10"/>
    </row>
    <row r="58" spans="1:7" x14ac:dyDescent="0.25">
      <c r="A58" s="39"/>
      <c r="B58" s="10"/>
      <c r="C58" s="10"/>
      <c r="D58" s="10"/>
      <c r="E58" s="57"/>
      <c r="F58" s="10"/>
      <c r="G58" s="10"/>
    </row>
    <row r="59" spans="1:7" x14ac:dyDescent="0.25">
      <c r="A59" s="39"/>
      <c r="B59" s="10"/>
      <c r="C59" s="10"/>
      <c r="D59" s="10"/>
      <c r="E59" s="57"/>
      <c r="F59" s="10"/>
      <c r="G59" s="10"/>
    </row>
    <row r="60" spans="1:7" x14ac:dyDescent="0.25">
      <c r="A60" s="39"/>
      <c r="B60" s="10"/>
      <c r="C60" s="10"/>
      <c r="D60" s="10"/>
      <c r="E60" s="57"/>
      <c r="F60" s="10"/>
      <c r="G60" s="10"/>
    </row>
    <row r="61" spans="1:7" x14ac:dyDescent="0.25">
      <c r="A61" s="39"/>
      <c r="B61" s="10"/>
      <c r="C61" s="10"/>
      <c r="D61" s="10"/>
      <c r="E61" s="57"/>
      <c r="F61" s="10"/>
      <c r="G61" s="10"/>
    </row>
    <row r="62" spans="1:7" x14ac:dyDescent="0.25">
      <c r="A62" s="39"/>
      <c r="B62" s="10"/>
      <c r="C62" s="10"/>
      <c r="D62" s="10"/>
      <c r="E62" s="57"/>
      <c r="F62" s="10"/>
      <c r="G62" s="10"/>
    </row>
    <row r="63" spans="1:7" x14ac:dyDescent="0.25">
      <c r="A63" s="39"/>
      <c r="B63" s="10"/>
      <c r="C63" s="10"/>
      <c r="D63" s="10"/>
      <c r="E63" s="57"/>
      <c r="F63" s="10"/>
      <c r="G63" s="10"/>
    </row>
    <row r="64" spans="1:7" x14ac:dyDescent="0.25">
      <c r="A64" s="39"/>
      <c r="B64" s="10"/>
      <c r="C64" s="10"/>
      <c r="D64" s="10"/>
      <c r="E64" s="57"/>
      <c r="F64" s="10"/>
      <c r="G64" s="10"/>
    </row>
    <row r="65" spans="1:7" x14ac:dyDescent="0.25">
      <c r="A65" s="39"/>
      <c r="B65" s="10"/>
      <c r="C65" s="10"/>
      <c r="D65" s="10"/>
      <c r="E65" s="57"/>
      <c r="F65" s="10"/>
      <c r="G65" s="10"/>
    </row>
    <row r="66" spans="1:7" x14ac:dyDescent="0.25">
      <c r="A66" s="39"/>
      <c r="B66" s="10"/>
      <c r="C66" s="10"/>
      <c r="D66" s="10"/>
      <c r="E66" s="57"/>
      <c r="F66" s="10"/>
      <c r="G66" s="10"/>
    </row>
    <row r="67" spans="1:7" x14ac:dyDescent="0.25">
      <c r="A67" s="39"/>
      <c r="B67" s="10"/>
      <c r="C67" s="10"/>
      <c r="D67" s="10"/>
      <c r="E67" s="57"/>
      <c r="F67" s="10"/>
      <c r="G67" s="10"/>
    </row>
    <row r="68" spans="1:7" x14ac:dyDescent="0.25">
      <c r="A68" s="39"/>
      <c r="B68" s="10"/>
      <c r="C68" s="10"/>
      <c r="D68" s="10"/>
      <c r="E68" s="57"/>
      <c r="F68" s="10"/>
      <c r="G68" s="10"/>
    </row>
    <row r="69" spans="1:7" x14ac:dyDescent="0.25">
      <c r="A69" s="39"/>
      <c r="B69" s="10"/>
      <c r="C69" s="10"/>
      <c r="D69" s="10"/>
      <c r="E69" s="57"/>
      <c r="F69" s="10"/>
      <c r="G69" s="10"/>
    </row>
    <row r="70" spans="1:7" x14ac:dyDescent="0.25">
      <c r="A70" s="39"/>
      <c r="B70" s="10"/>
      <c r="C70" s="10"/>
      <c r="D70" s="10"/>
      <c r="E70" s="57"/>
      <c r="F70" s="10"/>
      <c r="G70" s="10"/>
    </row>
    <row r="71" spans="1:7" x14ac:dyDescent="0.25">
      <c r="A71" s="39"/>
      <c r="B71" s="10"/>
      <c r="C71" s="10"/>
      <c r="D71" s="10"/>
      <c r="E71" s="57"/>
      <c r="F71" s="10"/>
      <c r="G71" s="10"/>
    </row>
    <row r="72" spans="1:7" x14ac:dyDescent="0.25">
      <c r="A72" s="39"/>
      <c r="B72" s="10"/>
      <c r="C72" s="10"/>
      <c r="D72" s="10"/>
      <c r="E72" s="57"/>
      <c r="F72" s="10"/>
      <c r="G72" s="10"/>
    </row>
    <row r="73" spans="1:7" x14ac:dyDescent="0.25">
      <c r="A73" s="39"/>
      <c r="B73" s="10"/>
      <c r="C73" s="10"/>
      <c r="D73" s="10"/>
      <c r="E73" s="57"/>
      <c r="F73" s="10"/>
      <c r="G73" s="10"/>
    </row>
    <row r="74" spans="1:7" x14ac:dyDescent="0.25">
      <c r="A74" s="39"/>
      <c r="B74" s="10"/>
      <c r="C74" s="10"/>
      <c r="D74" s="10"/>
      <c r="E74" s="57"/>
      <c r="F74" s="10"/>
      <c r="G74" s="10"/>
    </row>
    <row r="75" spans="1:7" x14ac:dyDescent="0.25">
      <c r="A75" s="39"/>
      <c r="B75" s="10"/>
      <c r="C75" s="10"/>
      <c r="D75" s="10"/>
      <c r="E75" s="57"/>
      <c r="F75" s="10"/>
      <c r="G75" s="10"/>
    </row>
    <row r="76" spans="1:7" x14ac:dyDescent="0.25">
      <c r="A76" s="13" t="s">
        <v>87</v>
      </c>
      <c r="B76" s="13"/>
      <c r="C76" s="13"/>
      <c r="D76" s="13"/>
      <c r="E76" s="13"/>
      <c r="F76" s="13"/>
      <c r="G76" s="13"/>
    </row>
    <row r="77" spans="1:7" x14ac:dyDescent="0.25">
      <c r="A77" s="39"/>
      <c r="B77" s="10"/>
      <c r="C77" s="10"/>
      <c r="D77" s="10"/>
      <c r="E77" s="57"/>
      <c r="F77" s="10"/>
      <c r="G77" s="10"/>
    </row>
    <row r="78" spans="1:7" x14ac:dyDescent="0.25">
      <c r="A78" s="39"/>
      <c r="B78" s="10"/>
      <c r="C78" s="10"/>
      <c r="D78" s="10"/>
      <c r="E78" s="57"/>
      <c r="F78" s="10"/>
      <c r="G78" s="10"/>
    </row>
    <row r="79" spans="1:7" x14ac:dyDescent="0.25">
      <c r="A79" s="39"/>
      <c r="B79" s="10"/>
      <c r="C79" s="10"/>
      <c r="D79" s="10"/>
      <c r="E79" s="57"/>
      <c r="F79" s="10"/>
      <c r="G79" s="10"/>
    </row>
    <row r="80" spans="1:7" x14ac:dyDescent="0.25">
      <c r="A80" s="39"/>
      <c r="B80" s="10"/>
      <c r="C80" s="10"/>
      <c r="D80" s="10"/>
      <c r="E80" s="57"/>
      <c r="F80" s="10"/>
      <c r="G80" s="10"/>
    </row>
    <row r="81" spans="1:7" x14ac:dyDescent="0.25">
      <c r="A81" s="39"/>
      <c r="B81" s="10"/>
      <c r="C81" s="10"/>
      <c r="D81" s="10"/>
      <c r="E81" s="57"/>
      <c r="F81" s="10"/>
      <c r="G81" s="10"/>
    </row>
    <row r="82" spans="1:7" x14ac:dyDescent="0.25">
      <c r="A82" s="39"/>
      <c r="B82" s="10"/>
      <c r="C82" s="10"/>
      <c r="D82" s="10"/>
      <c r="E82" s="57"/>
      <c r="F82" s="10"/>
      <c r="G82" s="10"/>
    </row>
    <row r="83" spans="1:7" x14ac:dyDescent="0.25">
      <c r="A83" s="39"/>
      <c r="B83" s="10"/>
      <c r="C83" s="10"/>
      <c r="D83" s="10"/>
      <c r="E83" s="57"/>
      <c r="F83" s="10"/>
      <c r="G83" s="10"/>
    </row>
    <row r="84" spans="1:7" x14ac:dyDescent="0.25">
      <c r="A84" s="39"/>
      <c r="B84" s="10"/>
      <c r="C84" s="10"/>
      <c r="D84" s="10"/>
      <c r="E84" s="57"/>
      <c r="F84" s="10"/>
      <c r="G84" s="10"/>
    </row>
    <row r="85" spans="1:7" x14ac:dyDescent="0.25">
      <c r="A85" s="39"/>
      <c r="B85" s="10"/>
      <c r="C85" s="10"/>
      <c r="D85" s="10"/>
      <c r="E85" s="57"/>
      <c r="F85" s="10"/>
      <c r="G85" s="10"/>
    </row>
    <row r="86" spans="1:7" x14ac:dyDescent="0.25">
      <c r="A86" s="39"/>
      <c r="B86" s="10"/>
      <c r="C86" s="10"/>
      <c r="D86" s="10"/>
      <c r="E86" s="57"/>
      <c r="F86" s="10"/>
      <c r="G86" s="10"/>
    </row>
    <row r="87" spans="1:7" x14ac:dyDescent="0.25">
      <c r="A87" s="39"/>
      <c r="B87" s="10"/>
      <c r="C87" s="10"/>
      <c r="D87" s="10"/>
      <c r="E87" s="57"/>
      <c r="F87" s="10"/>
      <c r="G87" s="10"/>
    </row>
    <row r="88" spans="1:7" x14ac:dyDescent="0.25">
      <c r="A88" s="39"/>
      <c r="B88" s="10"/>
      <c r="C88" s="10"/>
      <c r="D88" s="10"/>
      <c r="E88" s="57"/>
      <c r="F88" s="10"/>
      <c r="G88" s="10"/>
    </row>
    <row r="89" spans="1:7" x14ac:dyDescent="0.25">
      <c r="A89" s="39"/>
      <c r="B89" s="10"/>
      <c r="C89" s="10"/>
      <c r="D89" s="10"/>
      <c r="E89" s="57"/>
      <c r="F89" s="10"/>
      <c r="G89" s="10"/>
    </row>
    <row r="90" spans="1:7" x14ac:dyDescent="0.25">
      <c r="A90" s="39"/>
      <c r="B90" s="10"/>
      <c r="C90" s="10"/>
      <c r="D90" s="10"/>
      <c r="E90" s="57"/>
      <c r="F90" s="10"/>
      <c r="G90" s="10"/>
    </row>
    <row r="91" spans="1:7" x14ac:dyDescent="0.25">
      <c r="A91" s="39"/>
      <c r="B91" s="10"/>
      <c r="C91" s="10"/>
      <c r="D91" s="10"/>
      <c r="E91" s="57"/>
      <c r="F91" s="10"/>
      <c r="G91" s="10"/>
    </row>
    <row r="92" spans="1:7" x14ac:dyDescent="0.25">
      <c r="A92" s="39"/>
      <c r="B92" s="10"/>
      <c r="C92" s="10"/>
      <c r="D92" s="10"/>
      <c r="E92" s="57"/>
      <c r="F92" s="10"/>
      <c r="G92" s="10"/>
    </row>
    <row r="93" spans="1:7" x14ac:dyDescent="0.25">
      <c r="A93" s="39"/>
      <c r="B93" s="10"/>
      <c r="C93" s="10"/>
      <c r="D93" s="10"/>
      <c r="E93" s="57"/>
      <c r="F93" s="10"/>
      <c r="G93" s="10"/>
    </row>
    <row r="94" spans="1:7" x14ac:dyDescent="0.25">
      <c r="A94" s="39"/>
      <c r="B94" s="10"/>
      <c r="C94" s="10"/>
      <c r="D94" s="10"/>
      <c r="E94" s="57"/>
      <c r="F94" s="10"/>
      <c r="G94" s="10"/>
    </row>
    <row r="95" spans="1:7" x14ac:dyDescent="0.25">
      <c r="A95" s="39"/>
      <c r="B95" s="10"/>
      <c r="C95" s="10"/>
      <c r="D95" s="10"/>
      <c r="E95" s="57"/>
      <c r="F95" s="10"/>
      <c r="G95" s="10"/>
    </row>
    <row r="96" spans="1:7" x14ac:dyDescent="0.25">
      <c r="A96" s="39"/>
      <c r="B96" s="10"/>
      <c r="C96" s="10"/>
      <c r="D96" s="10"/>
      <c r="E96" s="57"/>
      <c r="F96" s="10"/>
      <c r="G96" s="10"/>
    </row>
    <row r="97" spans="1:7" x14ac:dyDescent="0.25">
      <c r="A97" s="13" t="s">
        <v>86</v>
      </c>
      <c r="B97" s="13"/>
      <c r="C97" s="13"/>
      <c r="D97" s="13"/>
      <c r="E97" s="13"/>
      <c r="F97" s="13"/>
      <c r="G97" s="13"/>
    </row>
    <row r="98" spans="1:7" x14ac:dyDescent="0.25">
      <c r="A98" s="39"/>
      <c r="B98" s="10"/>
      <c r="C98" s="10"/>
      <c r="D98" s="10"/>
      <c r="E98" s="57"/>
      <c r="F98" s="10"/>
      <c r="G98" s="10"/>
    </row>
    <row r="99" spans="1:7" x14ac:dyDescent="0.25">
      <c r="A99" s="39"/>
      <c r="B99" s="10"/>
      <c r="C99" s="10"/>
      <c r="D99" s="10"/>
      <c r="E99" s="57"/>
      <c r="F99" s="10"/>
      <c r="G99" s="10"/>
    </row>
    <row r="100" spans="1:7" x14ac:dyDescent="0.25">
      <c r="A100" s="39"/>
      <c r="B100" s="10"/>
      <c r="C100" s="10"/>
      <c r="D100" s="10"/>
      <c r="E100" s="57"/>
      <c r="F100" s="10"/>
      <c r="G100" s="10"/>
    </row>
    <row r="101" spans="1:7" x14ac:dyDescent="0.25">
      <c r="A101" s="39"/>
      <c r="B101" s="10"/>
      <c r="C101" s="10"/>
      <c r="D101" s="10"/>
      <c r="E101" s="57"/>
      <c r="F101" s="10"/>
      <c r="G101" s="10"/>
    </row>
    <row r="102" spans="1:7" x14ac:dyDescent="0.25">
      <c r="A102" s="39"/>
      <c r="B102" s="10"/>
      <c r="C102" s="10"/>
      <c r="D102" s="10"/>
      <c r="E102" s="57"/>
      <c r="F102" s="10"/>
      <c r="G102" s="10"/>
    </row>
    <row r="103" spans="1:7" x14ac:dyDescent="0.25">
      <c r="A103" s="39"/>
      <c r="B103" s="10"/>
      <c r="C103" s="10"/>
      <c r="D103" s="10"/>
      <c r="E103" s="57"/>
      <c r="F103" s="10"/>
      <c r="G103" s="10"/>
    </row>
    <row r="104" spans="1:7" x14ac:dyDescent="0.25">
      <c r="A104" s="39"/>
      <c r="B104" s="10"/>
      <c r="C104" s="10"/>
      <c r="D104" s="10"/>
      <c r="E104" s="57"/>
      <c r="F104" s="10"/>
      <c r="G104" s="10"/>
    </row>
    <row r="105" spans="1:7" x14ac:dyDescent="0.25">
      <c r="A105" s="39"/>
      <c r="B105" s="10"/>
      <c r="C105" s="10"/>
      <c r="D105" s="10"/>
      <c r="E105" s="57"/>
      <c r="F105" s="10"/>
      <c r="G105" s="10"/>
    </row>
    <row r="106" spans="1:7" x14ac:dyDescent="0.25">
      <c r="A106" s="39"/>
      <c r="B106" s="10"/>
      <c r="C106" s="10"/>
      <c r="D106" s="10"/>
      <c r="E106" s="57"/>
      <c r="F106" s="10"/>
      <c r="G106" s="10"/>
    </row>
    <row r="107" spans="1:7" x14ac:dyDescent="0.25">
      <c r="A107" s="39"/>
      <c r="B107" s="10"/>
      <c r="C107" s="10"/>
      <c r="D107" s="10"/>
      <c r="E107" s="57"/>
      <c r="F107" s="10"/>
      <c r="G107" s="10"/>
    </row>
    <row r="108" spans="1:7" x14ac:dyDescent="0.25">
      <c r="A108" s="39"/>
      <c r="B108" s="10"/>
      <c r="C108" s="10"/>
      <c r="D108" s="10"/>
      <c r="E108" s="57"/>
      <c r="F108" s="10"/>
      <c r="G108" s="10"/>
    </row>
    <row r="109" spans="1:7" x14ac:dyDescent="0.25">
      <c r="A109" s="39"/>
      <c r="B109" s="10"/>
      <c r="C109" s="10"/>
      <c r="D109" s="10"/>
      <c r="E109" s="57"/>
      <c r="F109" s="10"/>
      <c r="G109" s="10"/>
    </row>
    <row r="110" spans="1:7" x14ac:dyDescent="0.25">
      <c r="A110" s="39"/>
      <c r="B110" s="10"/>
      <c r="C110" s="10"/>
      <c r="D110" s="10"/>
      <c r="E110" s="57"/>
      <c r="F110" s="10"/>
      <c r="G110" s="10"/>
    </row>
    <row r="111" spans="1:7" x14ac:dyDescent="0.25">
      <c r="A111" s="39"/>
      <c r="B111" s="10"/>
      <c r="C111" s="10"/>
      <c r="D111" s="10"/>
      <c r="E111" s="57"/>
      <c r="F111" s="10"/>
      <c r="G111" s="10"/>
    </row>
    <row r="112" spans="1:7" x14ac:dyDescent="0.25">
      <c r="A112" s="39"/>
      <c r="B112" s="10"/>
      <c r="C112" s="10"/>
      <c r="D112" s="10"/>
      <c r="E112" s="57"/>
      <c r="F112" s="10"/>
      <c r="G112" s="10"/>
    </row>
    <row r="113" spans="1:7" x14ac:dyDescent="0.25">
      <c r="A113" s="39"/>
      <c r="B113" s="10"/>
      <c r="C113" s="10"/>
      <c r="D113" s="10"/>
      <c r="E113" s="57"/>
      <c r="F113" s="10"/>
      <c r="G113" s="10"/>
    </row>
    <row r="114" spans="1:7" x14ac:dyDescent="0.25">
      <c r="A114" s="39"/>
      <c r="B114" s="10"/>
      <c r="C114" s="10"/>
      <c r="D114" s="10"/>
      <c r="E114" s="57"/>
      <c r="F114" s="10"/>
      <c r="G114" s="10"/>
    </row>
    <row r="115" spans="1:7" x14ac:dyDescent="0.25">
      <c r="A115" s="39"/>
      <c r="B115" s="10"/>
      <c r="C115" s="10"/>
      <c r="D115" s="10"/>
      <c r="E115" s="57"/>
      <c r="F115" s="10"/>
      <c r="G115" s="10"/>
    </row>
    <row r="116" spans="1:7" x14ac:dyDescent="0.25">
      <c r="A116" s="39"/>
      <c r="B116" s="10"/>
      <c r="C116" s="10"/>
      <c r="D116" s="10"/>
      <c r="E116" s="57"/>
      <c r="F116" s="10"/>
      <c r="G116" s="10"/>
    </row>
    <row r="117" spans="1:7" x14ac:dyDescent="0.25">
      <c r="A117" s="39"/>
      <c r="B117" s="10"/>
      <c r="C117" s="10"/>
      <c r="D117" s="10"/>
      <c r="E117" s="57"/>
      <c r="F117" s="10"/>
      <c r="G117" s="10"/>
    </row>
    <row r="118" spans="1:7" x14ac:dyDescent="0.25">
      <c r="D118" s="28"/>
    </row>
    <row r="119" spans="1:7" x14ac:dyDescent="0.25">
      <c r="D119" s="60"/>
    </row>
    <row r="120" spans="1:7" x14ac:dyDescent="0.25">
      <c r="A120" s="61"/>
      <c r="B120" s="61"/>
      <c r="C120" s="61"/>
      <c r="D120" s="62"/>
      <c r="E120" s="61"/>
    </row>
    <row r="121" spans="1:7" x14ac:dyDescent="0.25">
      <c r="A121" s="61" t="s">
        <v>25</v>
      </c>
      <c r="B121" s="61"/>
      <c r="C121" s="61"/>
      <c r="D121" s="61"/>
      <c r="E121" s="61"/>
    </row>
    <row r="122" spans="1:7" x14ac:dyDescent="0.25">
      <c r="A122" s="61" t="s">
        <v>26</v>
      </c>
      <c r="B122" s="61"/>
      <c r="C122" s="61"/>
      <c r="D122" s="61"/>
      <c r="E122" s="61"/>
    </row>
    <row r="124" spans="1:7" x14ac:dyDescent="0.25">
      <c r="A124" s="82" t="s">
        <v>84</v>
      </c>
      <c r="B124" s="82"/>
      <c r="C124" s="49"/>
      <c r="D124" s="49"/>
      <c r="E124" s="49"/>
      <c r="F124" s="49"/>
      <c r="G124" s="49"/>
    </row>
    <row r="125" spans="1:7" x14ac:dyDescent="0.25">
      <c r="A125" s="74"/>
      <c r="B125" s="75"/>
      <c r="C125" s="75"/>
      <c r="D125" s="75"/>
      <c r="E125" s="76"/>
      <c r="F125" s="75"/>
      <c r="G125" s="75"/>
    </row>
    <row r="126" spans="1:7" x14ac:dyDescent="0.25">
      <c r="A126" s="74"/>
      <c r="E126" s="73"/>
      <c r="F126" s="75"/>
      <c r="G126" s="75"/>
    </row>
    <row r="127" spans="1:7" x14ac:dyDescent="0.25">
      <c r="A127" s="70"/>
    </row>
    <row r="128" spans="1:7" x14ac:dyDescent="0.25">
      <c r="A128" s="70"/>
    </row>
    <row r="129" spans="1:1" s="8" customFormat="1" x14ac:dyDescent="0.25">
      <c r="A129" s="70"/>
    </row>
    <row r="130" spans="1:1" s="8" customFormat="1" x14ac:dyDescent="0.25">
      <c r="A130" s="70"/>
    </row>
    <row r="131" spans="1:1" x14ac:dyDescent="0.25">
      <c r="A131" s="70"/>
    </row>
    <row r="132" spans="1:1" s="8" customFormat="1" x14ac:dyDescent="0.25">
      <c r="A132" s="70"/>
    </row>
    <row r="133" spans="1:1" s="8" customFormat="1" x14ac:dyDescent="0.25">
      <c r="A133" s="70"/>
    </row>
    <row r="134" spans="1:1" s="8" customFormat="1" x14ac:dyDescent="0.25">
      <c r="A134" s="70"/>
    </row>
    <row r="135" spans="1:1" s="8" customFormat="1" x14ac:dyDescent="0.25">
      <c r="A135" s="70"/>
    </row>
    <row r="136" spans="1:1" s="8" customFormat="1" x14ac:dyDescent="0.25">
      <c r="A136" s="70"/>
    </row>
    <row r="137" spans="1:1" s="8" customFormat="1" x14ac:dyDescent="0.25">
      <c r="A137" s="70"/>
    </row>
    <row r="138" spans="1:1" s="8" customFormat="1" x14ac:dyDescent="0.25">
      <c r="A138" s="70"/>
    </row>
    <row r="139" spans="1:1" s="8" customFormat="1" x14ac:dyDescent="0.25">
      <c r="A139" s="70"/>
    </row>
    <row r="140" spans="1:1" s="8" customFormat="1" x14ac:dyDescent="0.25">
      <c r="A140" s="70"/>
    </row>
    <row r="141" spans="1:1" s="8" customFormat="1" x14ac:dyDescent="0.25">
      <c r="A141" s="70"/>
    </row>
    <row r="142" spans="1:1" s="8" customFormat="1" x14ac:dyDescent="0.25">
      <c r="A142" s="70"/>
    </row>
    <row r="143" spans="1:1" s="8" customFormat="1" x14ac:dyDescent="0.25">
      <c r="A143" s="70"/>
    </row>
    <row r="144" spans="1:1" s="8" customFormat="1" x14ac:dyDescent="0.25">
      <c r="A144" s="70"/>
    </row>
    <row r="145" spans="1:1" s="8" customFormat="1" x14ac:dyDescent="0.25">
      <c r="A145" s="70"/>
    </row>
    <row r="146" spans="1:1" s="8" customFormat="1" x14ac:dyDescent="0.25">
      <c r="A146" s="70"/>
    </row>
    <row r="147" spans="1:1" s="8" customFormat="1" x14ac:dyDescent="0.25">
      <c r="A147" s="70"/>
    </row>
    <row r="148" spans="1:1" s="8" customFormat="1" x14ac:dyDescent="0.25">
      <c r="A148" s="70"/>
    </row>
    <row r="149" spans="1:1" s="8" customFormat="1" x14ac:dyDescent="0.25">
      <c r="A149" s="70"/>
    </row>
    <row r="150" spans="1:1" s="8" customFormat="1" x14ac:dyDescent="0.25">
      <c r="A150" s="70"/>
    </row>
    <row r="151" spans="1:1" s="8" customFormat="1" x14ac:dyDescent="0.25">
      <c r="A151" s="70"/>
    </row>
    <row r="152" spans="1:1" s="8" customFormat="1" x14ac:dyDescent="0.25">
      <c r="A152" s="70"/>
    </row>
    <row r="153" spans="1:1" s="8" customFormat="1" x14ac:dyDescent="0.25">
      <c r="A153" s="70"/>
    </row>
    <row r="154" spans="1:1" s="8" customFormat="1" x14ac:dyDescent="0.25">
      <c r="A154" s="70"/>
    </row>
    <row r="155" spans="1:1" s="8" customFormat="1" x14ac:dyDescent="0.25">
      <c r="A155" s="70"/>
    </row>
    <row r="156" spans="1:1" s="8" customFormat="1" x14ac:dyDescent="0.25">
      <c r="A156" s="70"/>
    </row>
    <row r="157" spans="1:1" s="8" customFormat="1" x14ac:dyDescent="0.25">
      <c r="A157" s="70"/>
    </row>
    <row r="158" spans="1:1" s="8" customFormat="1" x14ac:dyDescent="0.25">
      <c r="A158" s="70"/>
    </row>
    <row r="159" spans="1:1" s="8" customFormat="1" x14ac:dyDescent="0.25">
      <c r="A159" s="70"/>
    </row>
    <row r="160" spans="1:1" s="8" customFormat="1" x14ac:dyDescent="0.25">
      <c r="A160" s="70"/>
    </row>
    <row r="161" spans="1:1" s="8" customFormat="1" x14ac:dyDescent="0.25">
      <c r="A161" s="70"/>
    </row>
    <row r="162" spans="1:1" s="8" customFormat="1" x14ac:dyDescent="0.25">
      <c r="A162" s="70"/>
    </row>
    <row r="163" spans="1:1" s="8" customFormat="1" x14ac:dyDescent="0.25">
      <c r="A163" s="70"/>
    </row>
    <row r="164" spans="1:1" s="8" customFormat="1" x14ac:dyDescent="0.25">
      <c r="A164" s="70"/>
    </row>
    <row r="165" spans="1:1" s="8" customFormat="1" x14ac:dyDescent="0.25">
      <c r="A165" s="70"/>
    </row>
    <row r="166" spans="1:1" s="8" customFormat="1" x14ac:dyDescent="0.25">
      <c r="A166" s="70"/>
    </row>
    <row r="167" spans="1:1" s="8" customFormat="1" x14ac:dyDescent="0.25">
      <c r="A167" s="70"/>
    </row>
    <row r="168" spans="1:1" s="8" customFormat="1" x14ac:dyDescent="0.25">
      <c r="A168" s="70"/>
    </row>
    <row r="169" spans="1:1" s="8" customFormat="1" x14ac:dyDescent="0.25">
      <c r="A169" s="70"/>
    </row>
    <row r="170" spans="1:1" s="8" customFormat="1" x14ac:dyDescent="0.25">
      <c r="A170" s="70"/>
    </row>
    <row r="171" spans="1:1" s="8" customFormat="1" x14ac:dyDescent="0.25">
      <c r="A171" s="70"/>
    </row>
    <row r="172" spans="1:1" s="8" customFormat="1" x14ac:dyDescent="0.25">
      <c r="A172" s="70"/>
    </row>
    <row r="173" spans="1:1" s="8" customFormat="1" x14ac:dyDescent="0.25">
      <c r="A173" s="70"/>
    </row>
    <row r="174" spans="1:1" s="8" customFormat="1" x14ac:dyDescent="0.25">
      <c r="A174" s="70"/>
    </row>
    <row r="175" spans="1:1" s="8" customFormat="1" x14ac:dyDescent="0.25">
      <c r="A175" s="60"/>
    </row>
    <row r="176" spans="1:1" s="8" customFormat="1" x14ac:dyDescent="0.25"/>
    <row r="177" s="8" customFormat="1" x14ac:dyDescent="0.25"/>
    <row r="178" s="8" customFormat="1" x14ac:dyDescent="0.25"/>
    <row r="179" s="8" customFormat="1" x14ac:dyDescent="0.25"/>
    <row r="180" s="8" customFormat="1" x14ac:dyDescent="0.25"/>
    <row r="181" s="8" customFormat="1" x14ac:dyDescent="0.25"/>
    <row r="182" s="8" customFormat="1" x14ac:dyDescent="0.25"/>
    <row r="183" s="8" customFormat="1" x14ac:dyDescent="0.25"/>
  </sheetData>
  <mergeCells count="1">
    <mergeCell ref="A124:B12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B27B-AFF0-400C-809E-75EEEF2F9C6C}">
  <dimension ref="A1:G183"/>
  <sheetViews>
    <sheetView topLeftCell="A106" workbookViewId="0">
      <selection activeCell="C126" sqref="C126:C127"/>
    </sheetView>
  </sheetViews>
  <sheetFormatPr defaultRowHeight="15" x14ac:dyDescent="0.25"/>
  <cols>
    <col min="1" max="1" width="10.25" style="8" bestFit="1" customWidth="1"/>
    <col min="2" max="2" width="11.25" style="8" bestFit="1" customWidth="1"/>
    <col min="3" max="3" width="37" style="8" bestFit="1" customWidth="1"/>
    <col min="4" max="4" width="23.625" style="8" bestFit="1" customWidth="1"/>
    <col min="5" max="5" width="24.125" style="8" bestFit="1" customWidth="1"/>
    <col min="6" max="6" width="24.625" style="8" bestFit="1" customWidth="1"/>
    <col min="7" max="7" width="23" style="8" bestFit="1" customWidth="1"/>
  </cols>
  <sheetData>
    <row r="1" spans="1:7" x14ac:dyDescent="0.25">
      <c r="A1" s="24" t="s">
        <v>29</v>
      </c>
      <c r="B1" s="24" t="s">
        <v>30</v>
      </c>
      <c r="C1" s="24" t="s">
        <v>31</v>
      </c>
      <c r="D1" s="7" t="s">
        <v>0</v>
      </c>
      <c r="E1" s="7" t="s">
        <v>1</v>
      </c>
      <c r="F1" s="7" t="s">
        <v>2</v>
      </c>
      <c r="G1" s="7" t="s">
        <v>3</v>
      </c>
    </row>
    <row r="2" spans="1:7" x14ac:dyDescent="0.25">
      <c r="A2" s="2">
        <v>46082</v>
      </c>
      <c r="B2" s="3">
        <v>46082</v>
      </c>
      <c r="C2" s="3">
        <v>46089</v>
      </c>
      <c r="D2" s="4"/>
      <c r="E2" s="4"/>
      <c r="F2" s="44"/>
      <c r="G2" s="4"/>
    </row>
    <row r="3" spans="1:7" x14ac:dyDescent="0.25">
      <c r="A3" s="2">
        <v>46082</v>
      </c>
      <c r="B3" s="3">
        <v>46090</v>
      </c>
      <c r="C3" s="3">
        <v>46096</v>
      </c>
      <c r="D3" s="4"/>
      <c r="E3" s="4"/>
      <c r="F3" s="44"/>
      <c r="G3" s="4"/>
    </row>
    <row r="4" spans="1:7" x14ac:dyDescent="0.25">
      <c r="A4" s="2">
        <v>46082</v>
      </c>
      <c r="B4" s="3">
        <v>46097</v>
      </c>
      <c r="C4" s="3">
        <v>46103</v>
      </c>
      <c r="D4" s="4"/>
      <c r="E4" s="4"/>
      <c r="F4" s="44"/>
      <c r="G4" s="4"/>
    </row>
    <row r="5" spans="1:7" x14ac:dyDescent="0.25">
      <c r="A5" s="2">
        <v>46082</v>
      </c>
      <c r="B5" s="3">
        <v>46104</v>
      </c>
      <c r="C5" s="3">
        <v>46112</v>
      </c>
      <c r="D5" s="4"/>
      <c r="E5" s="4"/>
      <c r="F5" s="44"/>
      <c r="G5" s="4"/>
    </row>
    <row r="6" spans="1:7" x14ac:dyDescent="0.25">
      <c r="A6" s="2"/>
      <c r="B6" s="3"/>
      <c r="C6" s="6" t="s">
        <v>32</v>
      </c>
      <c r="D6" s="7">
        <f>SUM(D2:D5)</f>
        <v>0</v>
      </c>
      <c r="E6" s="7">
        <f>SUM(E2:E5)</f>
        <v>0</v>
      </c>
      <c r="F6" s="45">
        <f>SUM(F2:F5)</f>
        <v>0</v>
      </c>
      <c r="G6" s="7">
        <f>SUM(G2:G5)</f>
        <v>0</v>
      </c>
    </row>
    <row r="7" spans="1:7" x14ac:dyDescent="0.25">
      <c r="C7" s="9"/>
      <c r="D7" s="13" t="s">
        <v>5</v>
      </c>
      <c r="E7" s="13" t="s">
        <v>6</v>
      </c>
      <c r="F7" s="13" t="s">
        <v>7</v>
      </c>
      <c r="G7" s="13" t="s">
        <v>8</v>
      </c>
    </row>
    <row r="8" spans="1:7" x14ac:dyDescent="0.25">
      <c r="A8" s="2">
        <v>46082</v>
      </c>
      <c r="B8" s="3">
        <v>46082</v>
      </c>
      <c r="C8" s="3">
        <v>46089</v>
      </c>
      <c r="D8" s="10"/>
      <c r="E8" s="10"/>
      <c r="F8" s="46"/>
      <c r="G8" s="10"/>
    </row>
    <row r="9" spans="1:7" x14ac:dyDescent="0.25">
      <c r="A9" s="2">
        <v>46082</v>
      </c>
      <c r="B9" s="3">
        <v>46090</v>
      </c>
      <c r="C9" s="3">
        <v>46096</v>
      </c>
      <c r="D9" s="10"/>
      <c r="E9" s="10"/>
      <c r="F9" s="46"/>
      <c r="G9" s="10"/>
    </row>
    <row r="10" spans="1:7" x14ac:dyDescent="0.25">
      <c r="A10" s="2">
        <v>46082</v>
      </c>
      <c r="B10" s="3">
        <v>46097</v>
      </c>
      <c r="C10" s="3">
        <v>46103</v>
      </c>
      <c r="D10" s="10"/>
      <c r="E10" s="10"/>
      <c r="F10" s="46"/>
      <c r="G10" s="10"/>
    </row>
    <row r="11" spans="1:7" x14ac:dyDescent="0.25">
      <c r="A11" s="2">
        <v>46082</v>
      </c>
      <c r="B11" s="3">
        <v>46104</v>
      </c>
      <c r="C11" s="3">
        <v>46112</v>
      </c>
      <c r="D11" s="10"/>
      <c r="E11" s="10"/>
      <c r="F11" s="46"/>
      <c r="G11" s="10"/>
    </row>
    <row r="12" spans="1:7" x14ac:dyDescent="0.25">
      <c r="A12" s="2"/>
      <c r="B12" s="3"/>
      <c r="C12" s="12" t="s">
        <v>33</v>
      </c>
      <c r="D12" s="13">
        <f>SUM(D8:D11)</f>
        <v>0</v>
      </c>
      <c r="E12" s="13">
        <f>SUM(E8:E11)</f>
        <v>0</v>
      </c>
      <c r="F12" s="47">
        <f>SUM(F8:F11)</f>
        <v>0</v>
      </c>
      <c r="G12" s="13">
        <f>SUM(G8:G11)</f>
        <v>0</v>
      </c>
    </row>
    <row r="13" spans="1:7" x14ac:dyDescent="0.25">
      <c r="C13" s="14"/>
      <c r="D13" s="15" t="s">
        <v>9</v>
      </c>
      <c r="E13" s="15" t="s">
        <v>10</v>
      </c>
      <c r="F13" s="15" t="s">
        <v>11</v>
      </c>
      <c r="G13" s="15" t="s">
        <v>12</v>
      </c>
    </row>
    <row r="14" spans="1:7" x14ac:dyDescent="0.25">
      <c r="A14" s="2">
        <v>46082</v>
      </c>
      <c r="B14" s="3">
        <v>46082</v>
      </c>
      <c r="C14" s="3">
        <v>46089</v>
      </c>
      <c r="D14" s="16"/>
      <c r="E14" s="16"/>
      <c r="F14" s="17"/>
      <c r="G14" s="16"/>
    </row>
    <row r="15" spans="1:7" x14ac:dyDescent="0.25">
      <c r="A15" s="2">
        <v>46082</v>
      </c>
      <c r="B15" s="3">
        <v>46090</v>
      </c>
      <c r="C15" s="3">
        <v>46096</v>
      </c>
      <c r="D15" s="16"/>
      <c r="E15" s="16"/>
      <c r="F15" s="17"/>
      <c r="G15" s="16"/>
    </row>
    <row r="16" spans="1:7" x14ac:dyDescent="0.25">
      <c r="A16" s="2">
        <v>46082</v>
      </c>
      <c r="B16" s="3">
        <v>46097</v>
      </c>
      <c r="C16" s="3">
        <v>46103</v>
      </c>
      <c r="D16" s="16"/>
      <c r="E16" s="16"/>
      <c r="F16" s="17"/>
      <c r="G16" s="16"/>
    </row>
    <row r="17" spans="1:7" x14ac:dyDescent="0.25">
      <c r="A17" s="2">
        <v>46082</v>
      </c>
      <c r="B17" s="3">
        <v>46104</v>
      </c>
      <c r="C17" s="3">
        <v>46112</v>
      </c>
      <c r="D17" s="16"/>
      <c r="E17" s="16"/>
      <c r="F17" s="17"/>
      <c r="G17" s="16"/>
    </row>
    <row r="18" spans="1:7" x14ac:dyDescent="0.25">
      <c r="A18" s="2"/>
      <c r="B18" s="3"/>
      <c r="C18" s="18" t="s">
        <v>34</v>
      </c>
      <c r="D18" s="15">
        <f>SUM(D14:D17)</f>
        <v>0</v>
      </c>
      <c r="E18" s="15">
        <f>SUM(E14:E17)</f>
        <v>0</v>
      </c>
      <c r="F18" s="19">
        <f>SUM(F14:F17)</f>
        <v>0</v>
      </c>
      <c r="G18" s="15">
        <f>SUM(G14:G17)</f>
        <v>0</v>
      </c>
    </row>
    <row r="19" spans="1:7" x14ac:dyDescent="0.25">
      <c r="D19" s="24"/>
    </row>
    <row r="20" spans="1:7" x14ac:dyDescent="0.25">
      <c r="B20" s="20"/>
      <c r="C20" s="20"/>
      <c r="D20" s="21" t="s">
        <v>13</v>
      </c>
      <c r="E20" s="21" t="s">
        <v>14</v>
      </c>
      <c r="F20" s="21" t="s">
        <v>15</v>
      </c>
      <c r="G20" s="21" t="s">
        <v>16</v>
      </c>
    </row>
    <row r="21" spans="1:7" x14ac:dyDescent="0.25">
      <c r="B21" s="20"/>
      <c r="C21" s="21" t="s">
        <v>53</v>
      </c>
      <c r="D21" s="21">
        <f>SUM(D18,D12,D6)</f>
        <v>0</v>
      </c>
      <c r="E21" s="21">
        <f>SUM(E18,E12,E6)</f>
        <v>0</v>
      </c>
      <c r="F21" s="22">
        <f>SUM(F18,F12,F6)</f>
        <v>0</v>
      </c>
      <c r="G21" s="21">
        <f>SUM(G18,G12,G6)</f>
        <v>0</v>
      </c>
    </row>
    <row r="23" spans="1:7" x14ac:dyDescent="0.25">
      <c r="A23" s="7" t="s">
        <v>35</v>
      </c>
      <c r="B23" s="7" t="s">
        <v>36</v>
      </c>
      <c r="C23" s="7" t="s">
        <v>37</v>
      </c>
      <c r="D23" s="7" t="s">
        <v>38</v>
      </c>
      <c r="E23" s="7" t="s">
        <v>39</v>
      </c>
      <c r="F23" s="35" t="s">
        <v>18</v>
      </c>
      <c r="G23" s="40"/>
    </row>
    <row r="24" spans="1:7" x14ac:dyDescent="0.25">
      <c r="A24" s="23"/>
      <c r="B24" s="4"/>
      <c r="C24" s="4"/>
      <c r="D24" s="71"/>
      <c r="E24" s="4"/>
    </row>
    <row r="25" spans="1:7" x14ac:dyDescent="0.25">
      <c r="A25" s="23"/>
      <c r="B25" s="4"/>
      <c r="C25" s="4"/>
      <c r="D25" s="5"/>
      <c r="E25" s="4"/>
    </row>
    <row r="26" spans="1:7" x14ac:dyDescent="0.25">
      <c r="A26" s="23"/>
      <c r="B26" s="4"/>
      <c r="C26" s="4"/>
      <c r="D26" s="5"/>
      <c r="E26" s="4"/>
    </row>
    <row r="27" spans="1:7" x14ac:dyDescent="0.25">
      <c r="A27" s="23"/>
      <c r="B27" s="4"/>
      <c r="C27" s="4"/>
      <c r="D27" s="5"/>
      <c r="E27" s="4"/>
    </row>
    <row r="28" spans="1:7" x14ac:dyDescent="0.25">
      <c r="B28" s="8" t="s">
        <v>4</v>
      </c>
      <c r="C28" s="24">
        <f>SUM(C24:C27)</f>
        <v>0</v>
      </c>
      <c r="D28" s="25">
        <f>SUM(D24:D27)</f>
        <v>0</v>
      </c>
    </row>
    <row r="29" spans="1:7" x14ac:dyDescent="0.25">
      <c r="A29" s="23"/>
      <c r="B29" s="4"/>
      <c r="C29" s="4"/>
      <c r="D29" s="5"/>
      <c r="E29" s="4"/>
    </row>
    <row r="30" spans="1:7" x14ac:dyDescent="0.25">
      <c r="B30" s="8" t="s">
        <v>4</v>
      </c>
      <c r="C30" s="24">
        <f>SUM(C29)</f>
        <v>0</v>
      </c>
      <c r="D30" s="25">
        <f>SUM(D29)</f>
        <v>0</v>
      </c>
    </row>
    <row r="31" spans="1:7" x14ac:dyDescent="0.25">
      <c r="C31" s="24"/>
      <c r="D31" s="25"/>
    </row>
    <row r="32" spans="1:7" x14ac:dyDescent="0.25">
      <c r="A32" s="26"/>
      <c r="B32" s="26"/>
      <c r="C32" s="26" t="s">
        <v>41</v>
      </c>
    </row>
    <row r="33" spans="1:7" x14ac:dyDescent="0.25">
      <c r="A33" s="13" t="s">
        <v>42</v>
      </c>
      <c r="B33" s="13" t="s">
        <v>43</v>
      </c>
      <c r="C33" s="13" t="s">
        <v>44</v>
      </c>
      <c r="D33" s="13" t="s">
        <v>45</v>
      </c>
      <c r="E33" s="13" t="s">
        <v>46</v>
      </c>
      <c r="F33" s="13" t="s">
        <v>47</v>
      </c>
      <c r="G33" s="13" t="s">
        <v>48</v>
      </c>
    </row>
    <row r="34" spans="1:7" x14ac:dyDescent="0.25">
      <c r="A34" s="13" t="s">
        <v>89</v>
      </c>
      <c r="B34" s="13"/>
      <c r="C34" s="13"/>
      <c r="D34" s="13"/>
      <c r="E34" s="13"/>
      <c r="F34" s="13"/>
      <c r="G34" s="13"/>
    </row>
    <row r="35" spans="1:7" x14ac:dyDescent="0.25">
      <c r="A35" s="39"/>
      <c r="B35" s="10"/>
      <c r="C35" s="10"/>
      <c r="D35" s="10"/>
      <c r="E35" s="57"/>
      <c r="F35" s="10"/>
      <c r="G35" s="10"/>
    </row>
    <row r="36" spans="1:7" x14ac:dyDescent="0.25">
      <c r="A36" s="39"/>
      <c r="B36" s="10"/>
      <c r="C36" s="10"/>
      <c r="D36" s="10"/>
      <c r="E36" s="57"/>
      <c r="F36" s="10"/>
      <c r="G36" s="10"/>
    </row>
    <row r="37" spans="1:7" x14ac:dyDescent="0.25">
      <c r="A37" s="39"/>
      <c r="B37" s="10"/>
      <c r="C37" s="10"/>
      <c r="D37" s="10"/>
      <c r="E37" s="57"/>
      <c r="F37" s="10"/>
      <c r="G37" s="10"/>
    </row>
    <row r="38" spans="1:7" x14ac:dyDescent="0.25">
      <c r="A38" s="39"/>
      <c r="B38" s="10"/>
      <c r="C38" s="10"/>
      <c r="D38" s="10"/>
      <c r="E38" s="57"/>
      <c r="F38" s="10"/>
      <c r="G38" s="10"/>
    </row>
    <row r="39" spans="1:7" x14ac:dyDescent="0.25">
      <c r="A39" s="39"/>
      <c r="B39" s="10"/>
      <c r="C39" s="10"/>
      <c r="D39" s="10"/>
      <c r="E39" s="57"/>
      <c r="F39" s="10"/>
      <c r="G39" s="10"/>
    </row>
    <row r="40" spans="1:7" x14ac:dyDescent="0.25">
      <c r="A40" s="39"/>
      <c r="B40" s="10"/>
      <c r="C40" s="10"/>
      <c r="D40" s="10"/>
      <c r="E40" s="57"/>
      <c r="F40" s="10"/>
      <c r="G40" s="10"/>
    </row>
    <row r="41" spans="1:7" x14ac:dyDescent="0.25">
      <c r="A41" s="39"/>
      <c r="B41" s="10"/>
      <c r="C41" s="10"/>
      <c r="D41" s="10"/>
      <c r="E41" s="57"/>
      <c r="F41" s="10"/>
      <c r="G41" s="10"/>
    </row>
    <row r="42" spans="1:7" x14ac:dyDescent="0.25">
      <c r="A42" s="39"/>
      <c r="B42" s="10"/>
      <c r="C42" s="10"/>
      <c r="D42" s="10"/>
      <c r="E42" s="57"/>
      <c r="F42" s="10"/>
      <c r="G42" s="10"/>
    </row>
    <row r="43" spans="1:7" x14ac:dyDescent="0.25">
      <c r="A43" s="39"/>
      <c r="B43" s="10"/>
      <c r="C43" s="10"/>
      <c r="D43" s="10"/>
      <c r="E43" s="57"/>
      <c r="F43" s="10"/>
      <c r="G43" s="10"/>
    </row>
    <row r="44" spans="1:7" x14ac:dyDescent="0.25">
      <c r="A44" s="39"/>
      <c r="B44" s="10"/>
      <c r="C44" s="10"/>
      <c r="D44" s="10"/>
      <c r="E44" s="57"/>
      <c r="F44" s="10"/>
      <c r="G44" s="10"/>
    </row>
    <row r="45" spans="1:7" x14ac:dyDescent="0.25">
      <c r="A45" s="39"/>
      <c r="B45" s="10"/>
      <c r="C45" s="10"/>
      <c r="D45" s="10"/>
      <c r="E45" s="57"/>
      <c r="F45" s="10"/>
      <c r="G45" s="10"/>
    </row>
    <row r="46" spans="1:7" x14ac:dyDescent="0.25">
      <c r="A46" s="39"/>
      <c r="B46" s="10"/>
      <c r="C46" s="10"/>
      <c r="D46" s="10"/>
      <c r="E46" s="57"/>
      <c r="F46" s="10"/>
      <c r="G46" s="10"/>
    </row>
    <row r="47" spans="1:7" x14ac:dyDescent="0.25">
      <c r="A47" s="39"/>
      <c r="B47" s="10"/>
      <c r="C47" s="10"/>
      <c r="D47" s="10"/>
      <c r="E47" s="57"/>
      <c r="F47" s="10"/>
      <c r="G47" s="10"/>
    </row>
    <row r="48" spans="1:7" x14ac:dyDescent="0.25">
      <c r="A48" s="39"/>
      <c r="B48" s="10"/>
      <c r="C48" s="10"/>
      <c r="D48" s="10"/>
      <c r="E48" s="57"/>
      <c r="F48" s="10"/>
      <c r="G48" s="10"/>
    </row>
    <row r="49" spans="1:7" x14ac:dyDescent="0.25">
      <c r="A49" s="39"/>
      <c r="B49" s="10"/>
      <c r="C49" s="10"/>
      <c r="D49" s="10"/>
      <c r="E49" s="57"/>
      <c r="F49" s="10"/>
      <c r="G49" s="10"/>
    </row>
    <row r="50" spans="1:7" x14ac:dyDescent="0.25">
      <c r="A50" s="39"/>
      <c r="B50" s="10"/>
      <c r="C50" s="10"/>
      <c r="D50" s="10"/>
      <c r="E50" s="57"/>
      <c r="F50" s="10"/>
      <c r="G50" s="10"/>
    </row>
    <row r="51" spans="1:7" x14ac:dyDescent="0.25">
      <c r="A51" s="39"/>
      <c r="B51" s="10"/>
      <c r="C51" s="10"/>
      <c r="D51" s="10"/>
      <c r="E51" s="57"/>
      <c r="F51" s="10"/>
      <c r="G51" s="10"/>
    </row>
    <row r="52" spans="1:7" x14ac:dyDescent="0.25">
      <c r="A52" s="39"/>
      <c r="B52" s="10"/>
      <c r="C52" s="10"/>
      <c r="D52" s="10"/>
      <c r="E52" s="57"/>
      <c r="F52" s="10"/>
      <c r="G52" s="10"/>
    </row>
    <row r="53" spans="1:7" x14ac:dyDescent="0.25">
      <c r="A53" s="39"/>
      <c r="B53" s="10"/>
      <c r="C53" s="10"/>
      <c r="D53" s="10"/>
      <c r="E53" s="57"/>
      <c r="F53" s="10"/>
      <c r="G53" s="10"/>
    </row>
    <row r="54" spans="1:7" x14ac:dyDescent="0.25">
      <c r="A54" s="39"/>
      <c r="B54" s="10"/>
      <c r="C54" s="10"/>
      <c r="D54" s="10"/>
      <c r="E54" s="57"/>
      <c r="F54" s="10"/>
      <c r="G54" s="10"/>
    </row>
    <row r="55" spans="1:7" x14ac:dyDescent="0.25">
      <c r="A55" s="13" t="s">
        <v>90</v>
      </c>
      <c r="B55" s="13"/>
      <c r="C55" s="13"/>
      <c r="D55" s="13"/>
      <c r="E55" s="13"/>
      <c r="F55" s="13"/>
      <c r="G55" s="13"/>
    </row>
    <row r="56" spans="1:7" x14ac:dyDescent="0.25">
      <c r="A56" s="39"/>
      <c r="B56" s="10"/>
      <c r="C56" s="10"/>
      <c r="D56" s="10"/>
      <c r="E56" s="57"/>
      <c r="F56" s="10"/>
      <c r="G56" s="10"/>
    </row>
    <row r="57" spans="1:7" x14ac:dyDescent="0.25">
      <c r="A57" s="39"/>
      <c r="B57" s="10"/>
      <c r="C57" s="10"/>
      <c r="D57" s="10"/>
      <c r="E57" s="57"/>
      <c r="F57" s="10"/>
      <c r="G57" s="10"/>
    </row>
    <row r="58" spans="1:7" x14ac:dyDescent="0.25">
      <c r="A58" s="39"/>
      <c r="B58" s="10"/>
      <c r="C58" s="10"/>
      <c r="D58" s="10"/>
      <c r="E58" s="57"/>
      <c r="F58" s="10"/>
      <c r="G58" s="10"/>
    </row>
    <row r="59" spans="1:7" x14ac:dyDescent="0.25">
      <c r="A59" s="39"/>
      <c r="B59" s="10"/>
      <c r="C59" s="10"/>
      <c r="D59" s="10"/>
      <c r="E59" s="57"/>
      <c r="F59" s="10"/>
      <c r="G59" s="10"/>
    </row>
    <row r="60" spans="1:7" x14ac:dyDescent="0.25">
      <c r="A60" s="39"/>
      <c r="B60" s="10"/>
      <c r="C60" s="10"/>
      <c r="D60" s="10"/>
      <c r="E60" s="57"/>
      <c r="F60" s="10"/>
      <c r="G60" s="10"/>
    </row>
    <row r="61" spans="1:7" x14ac:dyDescent="0.25">
      <c r="A61" s="39"/>
      <c r="B61" s="10"/>
      <c r="C61" s="10"/>
      <c r="D61" s="10"/>
      <c r="E61" s="57"/>
      <c r="F61" s="10"/>
      <c r="G61" s="10"/>
    </row>
    <row r="62" spans="1:7" x14ac:dyDescent="0.25">
      <c r="A62" s="39"/>
      <c r="B62" s="10"/>
      <c r="C62" s="10"/>
      <c r="D62" s="10"/>
      <c r="E62" s="57"/>
      <c r="F62" s="10"/>
      <c r="G62" s="10"/>
    </row>
    <row r="63" spans="1:7" x14ac:dyDescent="0.25">
      <c r="A63" s="39"/>
      <c r="B63" s="10"/>
      <c r="C63" s="10"/>
      <c r="D63" s="10"/>
      <c r="E63" s="57"/>
      <c r="F63" s="10"/>
      <c r="G63" s="10"/>
    </row>
    <row r="64" spans="1:7" x14ac:dyDescent="0.25">
      <c r="A64" s="39"/>
      <c r="B64" s="10"/>
      <c r="C64" s="10"/>
      <c r="D64" s="10"/>
      <c r="E64" s="57"/>
      <c r="F64" s="10"/>
      <c r="G64" s="10"/>
    </row>
    <row r="65" spans="1:7" x14ac:dyDescent="0.25">
      <c r="A65" s="39"/>
      <c r="B65" s="10"/>
      <c r="C65" s="10"/>
      <c r="D65" s="10"/>
      <c r="E65" s="57"/>
      <c r="F65" s="10"/>
      <c r="G65" s="10"/>
    </row>
    <row r="66" spans="1:7" x14ac:dyDescent="0.25">
      <c r="A66" s="39"/>
      <c r="B66" s="10"/>
      <c r="C66" s="10"/>
      <c r="D66" s="10"/>
      <c r="E66" s="57"/>
      <c r="F66" s="10"/>
      <c r="G66" s="10"/>
    </row>
    <row r="67" spans="1:7" x14ac:dyDescent="0.25">
      <c r="A67" s="39"/>
      <c r="B67" s="10"/>
      <c r="C67" s="10"/>
      <c r="D67" s="10"/>
      <c r="E67" s="57"/>
      <c r="F67" s="10"/>
      <c r="G67" s="10"/>
    </row>
    <row r="68" spans="1:7" x14ac:dyDescent="0.25">
      <c r="A68" s="39"/>
      <c r="B68" s="10"/>
      <c r="C68" s="10"/>
      <c r="D68" s="10"/>
      <c r="E68" s="57"/>
      <c r="F68" s="10"/>
      <c r="G68" s="10"/>
    </row>
    <row r="69" spans="1:7" x14ac:dyDescent="0.25">
      <c r="A69" s="39"/>
      <c r="B69" s="10"/>
      <c r="C69" s="10"/>
      <c r="D69" s="10"/>
      <c r="E69" s="57"/>
      <c r="F69" s="10"/>
      <c r="G69" s="10"/>
    </row>
    <row r="70" spans="1:7" x14ac:dyDescent="0.25">
      <c r="A70" s="39"/>
      <c r="B70" s="10"/>
      <c r="C70" s="10"/>
      <c r="D70" s="10"/>
      <c r="E70" s="57"/>
      <c r="F70" s="10"/>
      <c r="G70" s="10"/>
    </row>
    <row r="71" spans="1:7" x14ac:dyDescent="0.25">
      <c r="A71" s="39"/>
      <c r="B71" s="10"/>
      <c r="C71" s="10"/>
      <c r="D71" s="10"/>
      <c r="E71" s="57"/>
      <c r="F71" s="10"/>
      <c r="G71" s="10"/>
    </row>
    <row r="72" spans="1:7" x14ac:dyDescent="0.25">
      <c r="A72" s="39"/>
      <c r="B72" s="10"/>
      <c r="C72" s="10"/>
      <c r="D72" s="10"/>
      <c r="E72" s="57"/>
      <c r="F72" s="10"/>
      <c r="G72" s="10"/>
    </row>
    <row r="73" spans="1:7" x14ac:dyDescent="0.25">
      <c r="A73" s="39"/>
      <c r="B73" s="10"/>
      <c r="C73" s="10"/>
      <c r="D73" s="10"/>
      <c r="E73" s="57"/>
      <c r="F73" s="10"/>
      <c r="G73" s="10"/>
    </row>
    <row r="74" spans="1:7" x14ac:dyDescent="0.25">
      <c r="A74" s="39"/>
      <c r="B74" s="10"/>
      <c r="C74" s="10"/>
      <c r="D74" s="10"/>
      <c r="E74" s="57"/>
      <c r="F74" s="10"/>
      <c r="G74" s="10"/>
    </row>
    <row r="75" spans="1:7" x14ac:dyDescent="0.25">
      <c r="A75" s="39"/>
      <c r="B75" s="10"/>
      <c r="C75" s="10"/>
      <c r="D75" s="10"/>
      <c r="E75" s="57"/>
      <c r="F75" s="10"/>
      <c r="G75" s="10"/>
    </row>
    <row r="76" spans="1:7" x14ac:dyDescent="0.25">
      <c r="A76" s="13" t="s">
        <v>91</v>
      </c>
      <c r="B76" s="13"/>
      <c r="C76" s="13"/>
      <c r="D76" s="13"/>
      <c r="E76" s="13"/>
      <c r="F76" s="13"/>
      <c r="G76" s="13"/>
    </row>
    <row r="77" spans="1:7" x14ac:dyDescent="0.25">
      <c r="A77" s="39"/>
      <c r="B77" s="10"/>
      <c r="C77" s="10"/>
      <c r="D77" s="10"/>
      <c r="E77" s="57"/>
      <c r="F77" s="10"/>
      <c r="G77" s="10"/>
    </row>
    <row r="78" spans="1:7" x14ac:dyDescent="0.25">
      <c r="A78" s="39"/>
      <c r="B78" s="10"/>
      <c r="C78" s="10"/>
      <c r="D78" s="10"/>
      <c r="E78" s="57"/>
      <c r="F78" s="10"/>
      <c r="G78" s="10"/>
    </row>
    <row r="79" spans="1:7" x14ac:dyDescent="0.25">
      <c r="A79" s="39"/>
      <c r="B79" s="10"/>
      <c r="C79" s="10"/>
      <c r="D79" s="10"/>
      <c r="E79" s="57"/>
      <c r="F79" s="10"/>
      <c r="G79" s="10"/>
    </row>
    <row r="80" spans="1:7" x14ac:dyDescent="0.25">
      <c r="A80" s="39"/>
      <c r="B80" s="10"/>
      <c r="C80" s="10"/>
      <c r="D80" s="10"/>
      <c r="E80" s="57"/>
      <c r="F80" s="10"/>
      <c r="G80" s="10"/>
    </row>
    <row r="81" spans="1:7" x14ac:dyDescent="0.25">
      <c r="A81" s="39"/>
      <c r="B81" s="10"/>
      <c r="C81" s="10"/>
      <c r="D81" s="10"/>
      <c r="E81" s="57"/>
      <c r="F81" s="10"/>
      <c r="G81" s="10"/>
    </row>
    <row r="82" spans="1:7" x14ac:dyDescent="0.25">
      <c r="A82" s="39"/>
      <c r="B82" s="10"/>
      <c r="C82" s="10"/>
      <c r="D82" s="10"/>
      <c r="E82" s="57"/>
      <c r="F82" s="10"/>
      <c r="G82" s="10"/>
    </row>
    <row r="83" spans="1:7" x14ac:dyDescent="0.25">
      <c r="A83" s="39"/>
      <c r="B83" s="10"/>
      <c r="C83" s="10"/>
      <c r="D83" s="10"/>
      <c r="E83" s="57"/>
      <c r="F83" s="10"/>
      <c r="G83" s="10"/>
    </row>
    <row r="84" spans="1:7" x14ac:dyDescent="0.25">
      <c r="A84" s="39"/>
      <c r="B84" s="10"/>
      <c r="C84" s="10"/>
      <c r="D84" s="10"/>
      <c r="E84" s="57"/>
      <c r="F84" s="10"/>
      <c r="G84" s="10"/>
    </row>
    <row r="85" spans="1:7" x14ac:dyDescent="0.25">
      <c r="A85" s="39"/>
      <c r="B85" s="10"/>
      <c r="C85" s="10"/>
      <c r="D85" s="10"/>
      <c r="E85" s="57"/>
      <c r="F85" s="10"/>
      <c r="G85" s="10"/>
    </row>
    <row r="86" spans="1:7" x14ac:dyDescent="0.25">
      <c r="A86" s="39"/>
      <c r="B86" s="10"/>
      <c r="C86" s="10"/>
      <c r="D86" s="10"/>
      <c r="E86" s="57"/>
      <c r="F86" s="10"/>
      <c r="G86" s="10"/>
    </row>
    <row r="87" spans="1:7" x14ac:dyDescent="0.25">
      <c r="A87" s="39"/>
      <c r="B87" s="10"/>
      <c r="C87" s="10"/>
      <c r="D87" s="10"/>
      <c r="E87" s="57"/>
      <c r="F87" s="10"/>
      <c r="G87" s="10"/>
    </row>
    <row r="88" spans="1:7" x14ac:dyDescent="0.25">
      <c r="A88" s="39"/>
      <c r="B88" s="10"/>
      <c r="C88" s="10"/>
      <c r="D88" s="10"/>
      <c r="E88" s="57"/>
      <c r="F88" s="10"/>
      <c r="G88" s="10"/>
    </row>
    <row r="89" spans="1:7" x14ac:dyDescent="0.25">
      <c r="A89" s="39"/>
      <c r="B89" s="10"/>
      <c r="C89" s="10"/>
      <c r="D89" s="10"/>
      <c r="E89" s="57"/>
      <c r="F89" s="10"/>
      <c r="G89" s="10"/>
    </row>
    <row r="90" spans="1:7" x14ac:dyDescent="0.25">
      <c r="A90" s="39"/>
      <c r="B90" s="10"/>
      <c r="C90" s="10"/>
      <c r="D90" s="10"/>
      <c r="E90" s="57"/>
      <c r="F90" s="10"/>
      <c r="G90" s="10"/>
    </row>
    <row r="91" spans="1:7" x14ac:dyDescent="0.25">
      <c r="A91" s="39"/>
      <c r="B91" s="10"/>
      <c r="C91" s="10"/>
      <c r="D91" s="10"/>
      <c r="E91" s="57"/>
      <c r="F91" s="10"/>
      <c r="G91" s="10"/>
    </row>
    <row r="92" spans="1:7" x14ac:dyDescent="0.25">
      <c r="A92" s="39"/>
      <c r="B92" s="10"/>
      <c r="C92" s="10"/>
      <c r="D92" s="10"/>
      <c r="E92" s="57"/>
      <c r="F92" s="10"/>
      <c r="G92" s="10"/>
    </row>
    <row r="93" spans="1:7" x14ac:dyDescent="0.25">
      <c r="A93" s="39"/>
      <c r="B93" s="10"/>
      <c r="C93" s="10"/>
      <c r="D93" s="10"/>
      <c r="E93" s="57"/>
      <c r="F93" s="10"/>
      <c r="G93" s="10"/>
    </row>
    <row r="94" spans="1:7" x14ac:dyDescent="0.25">
      <c r="A94" s="39"/>
      <c r="B94" s="10"/>
      <c r="C94" s="10"/>
      <c r="D94" s="10"/>
      <c r="E94" s="57"/>
      <c r="F94" s="10"/>
      <c r="G94" s="10"/>
    </row>
    <row r="95" spans="1:7" x14ac:dyDescent="0.25">
      <c r="A95" s="39"/>
      <c r="B95" s="10"/>
      <c r="C95" s="10"/>
      <c r="D95" s="10"/>
      <c r="E95" s="57"/>
      <c r="F95" s="10"/>
      <c r="G95" s="10"/>
    </row>
    <row r="96" spans="1:7" x14ac:dyDescent="0.25">
      <c r="A96" s="39"/>
      <c r="B96" s="10"/>
      <c r="C96" s="10"/>
      <c r="D96" s="10"/>
      <c r="E96" s="57"/>
      <c r="F96" s="10"/>
      <c r="G96" s="10"/>
    </row>
    <row r="97" spans="1:7" x14ac:dyDescent="0.25">
      <c r="A97" s="13" t="s">
        <v>92</v>
      </c>
      <c r="B97" s="13"/>
      <c r="C97" s="13"/>
      <c r="D97" s="13"/>
      <c r="E97" s="13"/>
      <c r="F97" s="13"/>
      <c r="G97" s="13"/>
    </row>
    <row r="98" spans="1:7" x14ac:dyDescent="0.25">
      <c r="A98" s="39"/>
      <c r="B98" s="10"/>
      <c r="C98" s="10"/>
      <c r="D98" s="10"/>
      <c r="E98" s="57"/>
      <c r="F98" s="10"/>
      <c r="G98" s="10"/>
    </row>
    <row r="99" spans="1:7" x14ac:dyDescent="0.25">
      <c r="A99" s="39"/>
      <c r="B99" s="10"/>
      <c r="C99" s="10"/>
      <c r="D99" s="10"/>
      <c r="E99" s="57"/>
      <c r="F99" s="10"/>
      <c r="G99" s="10"/>
    </row>
    <row r="100" spans="1:7" x14ac:dyDescent="0.25">
      <c r="A100" s="39"/>
      <c r="B100" s="10"/>
      <c r="C100" s="10"/>
      <c r="D100" s="10"/>
      <c r="E100" s="57"/>
      <c r="F100" s="10"/>
      <c r="G100" s="10"/>
    </row>
    <row r="101" spans="1:7" x14ac:dyDescent="0.25">
      <c r="A101" s="39"/>
      <c r="B101" s="10"/>
      <c r="C101" s="10"/>
      <c r="D101" s="10"/>
      <c r="E101" s="57"/>
      <c r="F101" s="10"/>
      <c r="G101" s="10"/>
    </row>
    <row r="102" spans="1:7" x14ac:dyDescent="0.25">
      <c r="A102" s="39"/>
      <c r="B102" s="10"/>
      <c r="C102" s="10"/>
      <c r="D102" s="10"/>
      <c r="E102" s="57"/>
      <c r="F102" s="10"/>
      <c r="G102" s="10"/>
    </row>
    <row r="103" spans="1:7" x14ac:dyDescent="0.25">
      <c r="A103" s="39"/>
      <c r="B103" s="10"/>
      <c r="C103" s="10"/>
      <c r="D103" s="10"/>
      <c r="E103" s="57"/>
      <c r="F103" s="10"/>
      <c r="G103" s="10"/>
    </row>
    <row r="104" spans="1:7" x14ac:dyDescent="0.25">
      <c r="A104" s="39"/>
      <c r="B104" s="10"/>
      <c r="C104" s="10"/>
      <c r="D104" s="10"/>
      <c r="E104" s="57"/>
      <c r="F104" s="10"/>
      <c r="G104" s="10"/>
    </row>
    <row r="105" spans="1:7" x14ac:dyDescent="0.25">
      <c r="A105" s="39"/>
      <c r="B105" s="10"/>
      <c r="C105" s="10"/>
      <c r="D105" s="10"/>
      <c r="E105" s="57"/>
      <c r="F105" s="10"/>
      <c r="G105" s="10"/>
    </row>
    <row r="106" spans="1:7" x14ac:dyDescent="0.25">
      <c r="A106" s="39"/>
      <c r="B106" s="10"/>
      <c r="C106" s="10"/>
      <c r="D106" s="10"/>
      <c r="E106" s="57"/>
      <c r="F106" s="10"/>
      <c r="G106" s="10"/>
    </row>
    <row r="107" spans="1:7" x14ac:dyDescent="0.25">
      <c r="A107" s="39"/>
      <c r="B107" s="10"/>
      <c r="C107" s="10"/>
      <c r="D107" s="10"/>
      <c r="E107" s="57"/>
      <c r="F107" s="10"/>
      <c r="G107" s="10"/>
    </row>
    <row r="108" spans="1:7" x14ac:dyDescent="0.25">
      <c r="A108" s="39"/>
      <c r="B108" s="10"/>
      <c r="C108" s="10"/>
      <c r="D108" s="10"/>
      <c r="E108" s="57"/>
      <c r="F108" s="10"/>
      <c r="G108" s="10"/>
    </row>
    <row r="109" spans="1:7" x14ac:dyDescent="0.25">
      <c r="A109" s="39"/>
      <c r="B109" s="10"/>
      <c r="C109" s="10"/>
      <c r="D109" s="10"/>
      <c r="E109" s="57"/>
      <c r="F109" s="10"/>
      <c r="G109" s="10"/>
    </row>
    <row r="110" spans="1:7" x14ac:dyDescent="0.25">
      <c r="A110" s="39"/>
      <c r="B110" s="10"/>
      <c r="C110" s="10"/>
      <c r="D110" s="10"/>
      <c r="E110" s="57"/>
      <c r="F110" s="10"/>
      <c r="G110" s="10"/>
    </row>
    <row r="111" spans="1:7" x14ac:dyDescent="0.25">
      <c r="A111" s="39"/>
      <c r="B111" s="10"/>
      <c r="C111" s="10"/>
      <c r="D111" s="10"/>
      <c r="E111" s="57"/>
      <c r="F111" s="10"/>
      <c r="G111" s="10"/>
    </row>
    <row r="112" spans="1:7" x14ac:dyDescent="0.25">
      <c r="A112" s="39"/>
      <c r="B112" s="10"/>
      <c r="C112" s="10"/>
      <c r="D112" s="10"/>
      <c r="E112" s="57"/>
      <c r="F112" s="10"/>
      <c r="G112" s="10"/>
    </row>
    <row r="113" spans="1:7" x14ac:dyDescent="0.25">
      <c r="A113" s="39"/>
      <c r="B113" s="10"/>
      <c r="C113" s="10"/>
      <c r="D113" s="10"/>
      <c r="E113" s="57"/>
      <c r="F113" s="10"/>
      <c r="G113" s="10"/>
    </row>
    <row r="114" spans="1:7" x14ac:dyDescent="0.25">
      <c r="A114" s="39"/>
      <c r="B114" s="10"/>
      <c r="C114" s="10"/>
      <c r="D114" s="10"/>
      <c r="E114" s="57"/>
      <c r="F114" s="10"/>
      <c r="G114" s="10"/>
    </row>
    <row r="115" spans="1:7" x14ac:dyDescent="0.25">
      <c r="A115" s="39"/>
      <c r="B115" s="10"/>
      <c r="C115" s="10"/>
      <c r="D115" s="10"/>
      <c r="E115" s="57"/>
      <c r="F115" s="10"/>
      <c r="G115" s="10"/>
    </row>
    <row r="116" spans="1:7" x14ac:dyDescent="0.25">
      <c r="A116" s="39"/>
      <c r="B116" s="10"/>
      <c r="C116" s="10"/>
      <c r="D116" s="10"/>
      <c r="E116" s="57"/>
      <c r="F116" s="10"/>
      <c r="G116" s="10"/>
    </row>
    <row r="117" spans="1:7" x14ac:dyDescent="0.25">
      <c r="A117" s="39"/>
      <c r="B117" s="10"/>
      <c r="C117" s="10"/>
      <c r="D117" s="10"/>
      <c r="E117" s="57"/>
      <c r="F117" s="10"/>
      <c r="G117" s="10"/>
    </row>
    <row r="118" spans="1:7" x14ac:dyDescent="0.25">
      <c r="D118" s="28"/>
    </row>
    <row r="119" spans="1:7" x14ac:dyDescent="0.25">
      <c r="D119" s="60"/>
    </row>
    <row r="120" spans="1:7" x14ac:dyDescent="0.25">
      <c r="A120" s="61"/>
      <c r="B120" s="61"/>
      <c r="C120" s="61"/>
      <c r="D120" s="62"/>
      <c r="E120" s="61"/>
    </row>
    <row r="121" spans="1:7" x14ac:dyDescent="0.25">
      <c r="A121" s="61" t="s">
        <v>25</v>
      </c>
      <c r="B121" s="61"/>
      <c r="C121" s="61"/>
      <c r="D121" s="61"/>
      <c r="E121" s="61"/>
    </row>
    <row r="122" spans="1:7" x14ac:dyDescent="0.25">
      <c r="A122" s="61" t="s">
        <v>26</v>
      </c>
      <c r="B122" s="61"/>
      <c r="C122" s="61"/>
      <c r="D122" s="61"/>
      <c r="E122" s="61"/>
    </row>
    <row r="124" spans="1:7" x14ac:dyDescent="0.25">
      <c r="A124" s="82" t="s">
        <v>84</v>
      </c>
      <c r="B124" s="82"/>
      <c r="C124" s="49"/>
      <c r="D124" s="49"/>
      <c r="E124" s="49"/>
      <c r="F124" s="49"/>
      <c r="G124" s="49"/>
    </row>
    <row r="125" spans="1:7" x14ac:dyDescent="0.25">
      <c r="A125" s="74"/>
      <c r="B125" s="75"/>
      <c r="C125" s="75"/>
      <c r="D125" s="75"/>
      <c r="E125" s="76"/>
      <c r="F125" s="75"/>
      <c r="G125" s="75"/>
    </row>
    <row r="126" spans="1:7" x14ac:dyDescent="0.25">
      <c r="A126" s="74"/>
      <c r="E126" s="73"/>
      <c r="F126" s="75"/>
      <c r="G126" s="75"/>
    </row>
    <row r="127" spans="1:7" x14ac:dyDescent="0.25">
      <c r="A127" s="70"/>
    </row>
    <row r="128" spans="1:7" x14ac:dyDescent="0.25">
      <c r="A128" s="70"/>
    </row>
    <row r="129" spans="1:1" s="8" customFormat="1" x14ac:dyDescent="0.25">
      <c r="A129" s="70"/>
    </row>
    <row r="130" spans="1:1" s="8" customFormat="1" x14ac:dyDescent="0.25">
      <c r="A130" s="70"/>
    </row>
    <row r="131" spans="1:1" x14ac:dyDescent="0.25">
      <c r="A131" s="70"/>
    </row>
    <row r="132" spans="1:1" s="8" customFormat="1" x14ac:dyDescent="0.25">
      <c r="A132" s="70"/>
    </row>
    <row r="133" spans="1:1" s="8" customFormat="1" x14ac:dyDescent="0.25">
      <c r="A133" s="70"/>
    </row>
    <row r="134" spans="1:1" s="8" customFormat="1" x14ac:dyDescent="0.25">
      <c r="A134" s="70"/>
    </row>
    <row r="135" spans="1:1" s="8" customFormat="1" x14ac:dyDescent="0.25">
      <c r="A135" s="70"/>
    </row>
    <row r="136" spans="1:1" s="8" customFormat="1" x14ac:dyDescent="0.25">
      <c r="A136" s="70"/>
    </row>
    <row r="137" spans="1:1" s="8" customFormat="1" x14ac:dyDescent="0.25">
      <c r="A137" s="70"/>
    </row>
    <row r="138" spans="1:1" s="8" customFormat="1" x14ac:dyDescent="0.25">
      <c r="A138" s="70"/>
    </row>
    <row r="139" spans="1:1" s="8" customFormat="1" x14ac:dyDescent="0.25">
      <c r="A139" s="70"/>
    </row>
    <row r="140" spans="1:1" s="8" customFormat="1" x14ac:dyDescent="0.25">
      <c r="A140" s="70"/>
    </row>
    <row r="141" spans="1:1" s="8" customFormat="1" x14ac:dyDescent="0.25">
      <c r="A141" s="70"/>
    </row>
    <row r="142" spans="1:1" s="8" customFormat="1" x14ac:dyDescent="0.25">
      <c r="A142" s="70"/>
    </row>
    <row r="143" spans="1:1" s="8" customFormat="1" x14ac:dyDescent="0.25">
      <c r="A143" s="70"/>
    </row>
    <row r="144" spans="1:1" s="8" customFormat="1" x14ac:dyDescent="0.25">
      <c r="A144" s="70"/>
    </row>
    <row r="145" spans="1:1" s="8" customFormat="1" x14ac:dyDescent="0.25">
      <c r="A145" s="70"/>
    </row>
    <row r="146" spans="1:1" s="8" customFormat="1" x14ac:dyDescent="0.25">
      <c r="A146" s="70"/>
    </row>
    <row r="147" spans="1:1" s="8" customFormat="1" x14ac:dyDescent="0.25">
      <c r="A147" s="70"/>
    </row>
    <row r="148" spans="1:1" s="8" customFormat="1" x14ac:dyDescent="0.25">
      <c r="A148" s="70"/>
    </row>
    <row r="149" spans="1:1" s="8" customFormat="1" x14ac:dyDescent="0.25">
      <c r="A149" s="70"/>
    </row>
    <row r="150" spans="1:1" s="8" customFormat="1" x14ac:dyDescent="0.25">
      <c r="A150" s="70"/>
    </row>
    <row r="151" spans="1:1" s="8" customFormat="1" x14ac:dyDescent="0.25">
      <c r="A151" s="70"/>
    </row>
    <row r="152" spans="1:1" s="8" customFormat="1" x14ac:dyDescent="0.25">
      <c r="A152" s="70"/>
    </row>
    <row r="153" spans="1:1" s="8" customFormat="1" x14ac:dyDescent="0.25">
      <c r="A153" s="70"/>
    </row>
    <row r="154" spans="1:1" s="8" customFormat="1" x14ac:dyDescent="0.25">
      <c r="A154" s="70"/>
    </row>
    <row r="155" spans="1:1" s="8" customFormat="1" x14ac:dyDescent="0.25">
      <c r="A155" s="70"/>
    </row>
    <row r="156" spans="1:1" s="8" customFormat="1" x14ac:dyDescent="0.25">
      <c r="A156" s="70"/>
    </row>
    <row r="157" spans="1:1" s="8" customFormat="1" x14ac:dyDescent="0.25">
      <c r="A157" s="70"/>
    </row>
    <row r="158" spans="1:1" s="8" customFormat="1" x14ac:dyDescent="0.25">
      <c r="A158" s="70"/>
    </row>
    <row r="159" spans="1:1" s="8" customFormat="1" x14ac:dyDescent="0.25">
      <c r="A159" s="70"/>
    </row>
    <row r="160" spans="1:1" s="8" customFormat="1" x14ac:dyDescent="0.25">
      <c r="A160" s="70"/>
    </row>
    <row r="161" spans="1:1" s="8" customFormat="1" x14ac:dyDescent="0.25">
      <c r="A161" s="70"/>
    </row>
    <row r="162" spans="1:1" s="8" customFormat="1" x14ac:dyDescent="0.25">
      <c r="A162" s="70"/>
    </row>
    <row r="163" spans="1:1" s="8" customFormat="1" x14ac:dyDescent="0.25">
      <c r="A163" s="70"/>
    </row>
    <row r="164" spans="1:1" s="8" customFormat="1" x14ac:dyDescent="0.25">
      <c r="A164" s="70"/>
    </row>
    <row r="165" spans="1:1" s="8" customFormat="1" x14ac:dyDescent="0.25">
      <c r="A165" s="70"/>
    </row>
    <row r="166" spans="1:1" s="8" customFormat="1" x14ac:dyDescent="0.25">
      <c r="A166" s="70"/>
    </row>
    <row r="167" spans="1:1" s="8" customFormat="1" x14ac:dyDescent="0.25">
      <c r="A167" s="70"/>
    </row>
    <row r="168" spans="1:1" s="8" customFormat="1" x14ac:dyDescent="0.25">
      <c r="A168" s="70"/>
    </row>
    <row r="169" spans="1:1" s="8" customFormat="1" x14ac:dyDescent="0.25">
      <c r="A169" s="70"/>
    </row>
    <row r="170" spans="1:1" s="8" customFormat="1" x14ac:dyDescent="0.25">
      <c r="A170" s="70"/>
    </row>
    <row r="171" spans="1:1" s="8" customFormat="1" x14ac:dyDescent="0.25">
      <c r="A171" s="70"/>
    </row>
    <row r="172" spans="1:1" s="8" customFormat="1" x14ac:dyDescent="0.25">
      <c r="A172" s="70"/>
    </row>
    <row r="173" spans="1:1" s="8" customFormat="1" x14ac:dyDescent="0.25">
      <c r="A173" s="70"/>
    </row>
    <row r="174" spans="1:1" s="8" customFormat="1" x14ac:dyDescent="0.25">
      <c r="A174" s="70"/>
    </row>
    <row r="175" spans="1:1" s="8" customFormat="1" x14ac:dyDescent="0.25">
      <c r="A175" s="60"/>
    </row>
    <row r="176" spans="1:1" s="8" customFormat="1" x14ac:dyDescent="0.25"/>
    <row r="177" s="8" customFormat="1" x14ac:dyDescent="0.25"/>
    <row r="178" s="8" customFormat="1" x14ac:dyDescent="0.25"/>
    <row r="179" s="8" customFormat="1" x14ac:dyDescent="0.25"/>
    <row r="180" s="8" customFormat="1" x14ac:dyDescent="0.25"/>
    <row r="181" s="8" customFormat="1" x14ac:dyDescent="0.25"/>
    <row r="182" s="8" customFormat="1" x14ac:dyDescent="0.25"/>
    <row r="183" s="8" customFormat="1" x14ac:dyDescent="0.25"/>
  </sheetData>
  <mergeCells count="1">
    <mergeCell ref="A124:B12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EA0E-4CBB-4F1B-AB28-8B47D814D5EA}">
  <dimension ref="A1:G18"/>
  <sheetViews>
    <sheetView tabSelected="1" topLeftCell="A4" zoomScaleNormal="100" workbookViewId="0">
      <selection activeCell="E19" sqref="E19"/>
    </sheetView>
  </sheetViews>
  <sheetFormatPr defaultRowHeight="15" x14ac:dyDescent="0.25"/>
  <cols>
    <col min="1" max="1" width="15.375" style="1" customWidth="1"/>
    <col min="2" max="2" width="33.75" style="1" customWidth="1"/>
    <col min="3" max="3" width="17.125" style="1" customWidth="1"/>
    <col min="4" max="4" width="11.625" style="1" customWidth="1"/>
    <col min="5" max="5" width="22.5" style="1" customWidth="1"/>
    <col min="6" max="6" width="9" style="1"/>
    <col min="7" max="7" width="16.25" style="1" customWidth="1"/>
    <col min="8" max="16384" width="9" style="1"/>
  </cols>
  <sheetData>
    <row r="1" spans="1:7" x14ac:dyDescent="0.25">
      <c r="A1" s="72"/>
      <c r="B1" s="41" t="s">
        <v>73</v>
      </c>
      <c r="C1" s="41"/>
      <c r="D1" s="41"/>
      <c r="E1" s="41"/>
      <c r="F1" s="1" t="s">
        <v>93</v>
      </c>
      <c r="G1" s="1" t="s">
        <v>101</v>
      </c>
    </row>
    <row r="2" spans="1:7" x14ac:dyDescent="0.25">
      <c r="A2" s="48">
        <v>46029</v>
      </c>
      <c r="B2" s="42" t="s">
        <v>67</v>
      </c>
      <c r="C2" s="42" t="s">
        <v>68</v>
      </c>
      <c r="D2" s="42" t="s">
        <v>50</v>
      </c>
      <c r="E2" s="43"/>
      <c r="F2" s="43">
        <v>15</v>
      </c>
      <c r="G2" s="1" t="s">
        <v>102</v>
      </c>
    </row>
    <row r="3" spans="1:7" x14ac:dyDescent="0.25">
      <c r="A3" s="48">
        <v>46036</v>
      </c>
      <c r="B3" s="42" t="s">
        <v>69</v>
      </c>
      <c r="C3" s="42" t="s">
        <v>68</v>
      </c>
      <c r="D3" s="42" t="s">
        <v>50</v>
      </c>
      <c r="E3" s="77"/>
      <c r="F3" s="43">
        <v>14</v>
      </c>
      <c r="G3" s="1" t="s">
        <v>102</v>
      </c>
    </row>
    <row r="4" spans="1:7" x14ac:dyDescent="0.25">
      <c r="A4" s="48">
        <v>46043</v>
      </c>
      <c r="B4" s="42" t="s">
        <v>94</v>
      </c>
      <c r="C4" s="42" t="s">
        <v>68</v>
      </c>
      <c r="D4" s="42" t="s">
        <v>50</v>
      </c>
      <c r="E4" s="43"/>
      <c r="F4" s="43">
        <v>14</v>
      </c>
      <c r="G4" s="1" t="s">
        <v>102</v>
      </c>
    </row>
    <row r="5" spans="1:7" x14ac:dyDescent="0.25">
      <c r="A5" s="48">
        <v>46050</v>
      </c>
      <c r="B5" s="79" t="s">
        <v>95</v>
      </c>
      <c r="C5" s="80"/>
      <c r="D5" s="79" t="s">
        <v>97</v>
      </c>
      <c r="E5" s="43"/>
      <c r="F5" s="43">
        <v>0</v>
      </c>
    </row>
    <row r="6" spans="1:7" x14ac:dyDescent="0.25">
      <c r="A6" s="48">
        <v>46057</v>
      </c>
      <c r="B6" s="42" t="s">
        <v>69</v>
      </c>
      <c r="C6" s="42" t="s">
        <v>68</v>
      </c>
      <c r="D6" s="42" t="s">
        <v>50</v>
      </c>
      <c r="E6" s="43"/>
      <c r="F6" s="43">
        <v>16</v>
      </c>
      <c r="G6" s="1" t="s">
        <v>102</v>
      </c>
    </row>
    <row r="7" spans="1:7" x14ac:dyDescent="0.25">
      <c r="A7" s="48">
        <v>46064</v>
      </c>
      <c r="B7" s="42" t="s">
        <v>67</v>
      </c>
      <c r="C7" s="42" t="s">
        <v>68</v>
      </c>
      <c r="D7" s="42" t="s">
        <v>50</v>
      </c>
      <c r="E7" s="43"/>
      <c r="F7" s="43">
        <v>14</v>
      </c>
      <c r="G7" s="1" t="s">
        <v>102</v>
      </c>
    </row>
    <row r="8" spans="1:7" x14ac:dyDescent="0.25">
      <c r="A8" s="48">
        <v>46071</v>
      </c>
      <c r="B8" s="42" t="s">
        <v>96</v>
      </c>
      <c r="C8" s="42" t="s">
        <v>98</v>
      </c>
      <c r="D8" s="42" t="s">
        <v>50</v>
      </c>
      <c r="E8" s="43"/>
      <c r="F8" s="43">
        <v>13</v>
      </c>
      <c r="G8" s="1" t="s">
        <v>102</v>
      </c>
    </row>
    <row r="9" spans="1:7" x14ac:dyDescent="0.25">
      <c r="A9" s="48">
        <v>46078</v>
      </c>
    </row>
    <row r="10" spans="1:7" x14ac:dyDescent="0.25">
      <c r="A10" s="48">
        <v>46085</v>
      </c>
    </row>
    <row r="11" spans="1:7" x14ac:dyDescent="0.25">
      <c r="A11" s="48">
        <v>46092</v>
      </c>
    </row>
    <row r="12" spans="1:7" x14ac:dyDescent="0.25">
      <c r="A12" s="48">
        <v>46099</v>
      </c>
    </row>
    <row r="13" spans="1:7" x14ac:dyDescent="0.25">
      <c r="A13" s="48">
        <v>46106</v>
      </c>
      <c r="B13" s="81" t="s">
        <v>99</v>
      </c>
      <c r="C13" s="81" t="s">
        <v>100</v>
      </c>
    </row>
    <row r="14" spans="1:7" x14ac:dyDescent="0.25">
      <c r="A14" s="48">
        <v>46113</v>
      </c>
      <c r="B14" s="81"/>
      <c r="C14" s="81"/>
    </row>
    <row r="15" spans="1:7" x14ac:dyDescent="0.25">
      <c r="A15" s="48">
        <v>46120</v>
      </c>
      <c r="B15" s="81" t="s">
        <v>99</v>
      </c>
      <c r="C15" s="81" t="s">
        <v>100</v>
      </c>
    </row>
    <row r="16" spans="1:7" x14ac:dyDescent="0.25">
      <c r="A16" s="48">
        <v>46127</v>
      </c>
    </row>
    <row r="17" spans="1:1" x14ac:dyDescent="0.25">
      <c r="A17" s="48">
        <v>46134</v>
      </c>
    </row>
    <row r="18" spans="1:1" x14ac:dyDescent="0.25">
      <c r="A18" s="48">
        <v>46141</v>
      </c>
    </row>
  </sheetData>
  <dataValidations count="1">
    <dataValidation type="list" allowBlank="1" showInputMessage="1" showErrorMessage="1" sqref="D2:D8" xr:uid="{597A0B7E-9492-409A-908B-20640C824B87}">
      <formula1>"Complete, Incomplete"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65702F7F7DB47AFD9AC9814926C32" ma:contentTypeVersion="4" ma:contentTypeDescription="Create a new document." ma:contentTypeScope="" ma:versionID="8c8747932339792bb621fa2b4d56a7a7">
  <xsd:schema xmlns:xsd="http://www.w3.org/2001/XMLSchema" xmlns:xs="http://www.w3.org/2001/XMLSchema" xmlns:p="http://schemas.microsoft.com/office/2006/metadata/properties" xmlns:ns3="19de1da0-3771-4183-b8e6-eaa1dc5b59bf" targetNamespace="http://schemas.microsoft.com/office/2006/metadata/properties" ma:root="true" ma:fieldsID="d45311d63e053696167307fae812db0c" ns3:_="">
    <xsd:import namespace="19de1da0-3771-4183-b8e6-eaa1dc5b59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e1da0-3771-4183-b8e6-eaa1dc5b59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678AC5-3D6A-44E0-A822-1709F4A718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E1F1BE8-3FE7-46D2-8116-EE87FCE0AD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e1da0-3771-4183-b8e6-eaa1dc5b59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8F35A8-2CE9-44AB-8104-31EAF45A17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Cumulative</vt:lpstr>
      <vt:lpstr>2026_January</vt:lpstr>
      <vt:lpstr>2026_Feburary</vt:lpstr>
      <vt:lpstr>2026_March</vt:lpstr>
      <vt:lpstr>Wings 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Howard</dc:creator>
  <cp:keywords/>
  <dc:description/>
  <cp:lastModifiedBy>Amy Cerda</cp:lastModifiedBy>
  <cp:revision/>
  <dcterms:created xsi:type="dcterms:W3CDTF">2025-07-28T16:14:31Z</dcterms:created>
  <dcterms:modified xsi:type="dcterms:W3CDTF">2026-02-19T20:49:16Z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0x01010086165702F7F7DB47AFD9AC9814926C32</vt:lpwstr>
  </property>
</Properties>
</file>